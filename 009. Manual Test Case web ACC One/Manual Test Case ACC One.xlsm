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D:\Batch288\xa-batch-288-qa-teknologi\003. Yasin\009. Manual Test Case web ACC One\"/>
    </mc:Choice>
  </mc:AlternateContent>
  <xr:revisionPtr revIDLastSave="0" documentId="13_ncr:1_{531AC912-EE7D-4B14-878B-FBEE0C6D84A9}" xr6:coauthVersionLast="47" xr6:coauthVersionMax="47" xr10:uidLastSave="{00000000-0000-0000-0000-000000000000}"/>
  <bookViews>
    <workbookView xWindow="-108" yWindow="-108" windowWidth="23256" windowHeight="12576" activeTab="1" xr2:uid="{00000000-000D-0000-FFFF-FFFF00000000}"/>
  </bookViews>
  <sheets>
    <sheet name="Dashboard" sheetId="12" r:id="rId1"/>
    <sheet name="Positive" sheetId="9" r:id="rId2"/>
    <sheet name="MACRO" sheetId="11" state="hidden" r:id="rId3"/>
  </sheets>
  <definedNames>
    <definedName name="_xlnm._FilterDatabase" localSheetId="1" hidden="1">Positive!$A$10:$S$10</definedName>
    <definedName name="cityList">#REF!</definedName>
    <definedName name="list_test_case">Positive!$A$11:$S$37</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4" i="12" l="1"/>
  <c r="Q35" i="12"/>
  <c r="Q36" i="12"/>
  <c r="P34" i="12"/>
  <c r="P35" i="12"/>
  <c r="P36" i="12"/>
  <c r="C34" i="12" l="1"/>
  <c r="O34" i="12"/>
  <c r="O35" i="12"/>
  <c r="O36" i="12"/>
  <c r="L34" i="12"/>
  <c r="L35" i="12"/>
  <c r="L36" i="12"/>
  <c r="L37" i="12"/>
  <c r="I35" i="12"/>
  <c r="I36" i="12"/>
  <c r="I37" i="12"/>
  <c r="I34" i="12"/>
  <c r="F34" i="12"/>
  <c r="F35" i="12"/>
  <c r="B40" i="9" l="1" a="1"/>
  <c r="B40" i="9" l="1"/>
  <c r="C43" i="9"/>
  <c r="B43" i="9"/>
  <c r="C42" i="9"/>
  <c r="B42" i="9"/>
  <c r="C41" i="9"/>
  <c r="B41" i="9"/>
  <c r="C40" i="9"/>
  <c r="C44"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10"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<sst xmlns="http://schemas.openxmlformats.org/spreadsheetml/2006/main" count="353" uniqueCount="164">
  <si>
    <t>NO.</t>
  </si>
  <si>
    <t>FUNGTION</t>
  </si>
  <si>
    <t>TEST STEPS</t>
  </si>
  <si>
    <t>EXPECTED RESULT</t>
  </si>
  <si>
    <t>ACTUAL RESULT</t>
  </si>
  <si>
    <t>TEST TYPE</t>
  </si>
  <si>
    <t>STATUS</t>
  </si>
  <si>
    <t>NOTES</t>
  </si>
  <si>
    <t>Positive</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</si>
  <si>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</si>
  <si>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</si>
  <si>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</si>
  <si>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</si>
  <si>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</si>
  <si>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</si>
  <si>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</si>
  <si>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</si>
  <si>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</si>
  <si>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BY</t>
  </si>
  <si>
    <t>EXECUTED
ON</t>
  </si>
  <si>
    <t>Not Ready</t>
  </si>
  <si>
    <t>TEST
CASE
ID</t>
  </si>
  <si>
    <t>Total</t>
  </si>
  <si>
    <t>Passed</t>
  </si>
  <si>
    <t>Failed</t>
  </si>
  <si>
    <t>Not Executed</t>
  </si>
  <si>
    <t>PRIORITY</t>
  </si>
  <si>
    <t xml:space="preserve">PRIORITY </t>
  </si>
  <si>
    <t>Urgent</t>
  </si>
  <si>
    <t>High</t>
  </si>
  <si>
    <t>Medium</t>
  </si>
  <si>
    <t>Low</t>
  </si>
  <si>
    <t>TYPE TEST</t>
  </si>
  <si>
    <t>PAGE</t>
  </si>
  <si>
    <t>TOTAL</t>
  </si>
  <si>
    <t xml:space="preserve"> </t>
  </si>
  <si>
    <t>TEST DATA</t>
  </si>
  <si>
    <t>TOTAL
(Programmer)</t>
  </si>
  <si>
    <t>TOTAL
(Created)</t>
  </si>
  <si>
    <t>TOTAL
(Executor)</t>
  </si>
  <si>
    <t>1.1. Kalkulator Kredit Mobil Baru</t>
  </si>
  <si>
    <t>TC110001</t>
  </si>
  <si>
    <t>Masuk ke halaman Kalkulator Kredit Mobil Baru</t>
  </si>
  <si>
    <t>1. Buka browser Chrome
2. Buka link web ACC One sesuai pada deskripsi
3. Pilih menu "kalkulator kredit" pada menu bar
4. Pilih tab "mobil baru"</t>
  </si>
  <si>
    <t>Menampilkan tab "mobil baru" yang memiliki field yang dapat diisi berupa:
1. Option Box Brand
2. Option Box Tipe
3. Option Box Model
4. Option Box Tahun
5. Option Box Harga OTR
6. Option Box DP (%)
7. Option Box Tenor
8. Option Box Area Pengajuan
9. Chexkbox "Pilih Semua Rekomendasi Asuransi"
10. Option Box "Lihat Detail Asuransi"
11. Button "Hitung Simulasi"
12. Button "Ajukan Pembiayaan"</t>
  </si>
  <si>
    <t>Berhasil masuk ke halaman daftar yang memiliki field yang dapat diisi berupa:
1. Option Box Brand
2. Option Box Tipe
3. Option Box Model
4. Option Box Tahun
5. Option Box Harga OTR
6. Option Box DP (%)
7. Option Box Tenor
8. Option Box Area Pengajuan
9. Chexkbox "Pilih Semua Rekomendasi Asuransi"
10. Option Box "Lihat Detail Asuransi"
11. Button "Hitung Simulasi"
12. Button "Ajukan Pembiayaan"</t>
  </si>
  <si>
    <t>Wahyu</t>
  </si>
  <si>
    <t>Yasin</t>
  </si>
  <si>
    <t>Aris</t>
  </si>
  <si>
    <t>TC110002</t>
  </si>
  <si>
    <t>Pada halaman Kalkulator Kredit Mobil Baru, setelah mengisi semua field untuk Kalkulator Kredit Mobil Baru, layar menampilkan nilai Angsuran Per Bulan dan TDP yang sesuai dengan hasil Hitung Simulasi</t>
  </si>
  <si>
    <t>1. Brand : "DAIHATSU"
2. Tipe : "ALL NEW SIRION"
3. Model : "1.3 D FMC AT"
4. Tahun : "2021"
5. Harga OTR : "Rp. 105,000,000"
6. DP (%) : "20"
7. Tenor : "60"
8. Area Pengajuan : "DKI Jakarta dan Banten"</t>
  </si>
  <si>
    <t>1. Isi semua field sesuai dengan Test Data
2. Checklist Checkbox "Pilih Semua Rekomendasi Asuransi"
3. Klik tombol "Hitung Simulasi"</t>
  </si>
  <si>
    <t>Menampilkan nilai Angsuran Per Bulan dan TDP yang sesuai dengan hasil Hitung Simulasi</t>
  </si>
  <si>
    <t>TC110003</t>
  </si>
  <si>
    <t>Pada halaman Kalkulator Kredit Mobil Baru, Option Box Tipe tidak dapat dipilih jika Option Box Brand kosong</t>
  </si>
  <si>
    <t>1. Memilih pilihan yang tersedia pada Option Box Tipe</t>
  </si>
  <si>
    <t>User tidak dapat memilih Option Box Tipe karena Option Box Brand kosong</t>
  </si>
  <si>
    <t>TC110004</t>
  </si>
  <si>
    <t>Pada halaman Kalkulator Kredit Mobil Baru, Option Box Model tidak dapat dipilih jika Option Box Brand kosong dan Option Box Tipe kosong</t>
  </si>
  <si>
    <t>1. Memilih pilihan yang tersedia pada Option Box Model</t>
  </si>
  <si>
    <t>User tidak dapat memilih Option Box Model karena Option Box Brand dan Option Box Tipe kosong</t>
  </si>
  <si>
    <t>TC110005</t>
  </si>
  <si>
    <t>Pada halaman Kalkulator Kredit Mobil Baru, Option Box Model tidak dapat dipilih jika Option Box Brand dipilih dengan brand tertentu dan Option Box Tipe kosong</t>
  </si>
  <si>
    <t>1. Brand : "DAIHATSU"</t>
  </si>
  <si>
    <t>1. Memilih pilihan yang tersedia pada Option Box Brand sesuai dengan Test Data
2. Memilih pilihan yang tersedia pada Option Box Model</t>
  </si>
  <si>
    <t>User tidak dapat memilih Option Box Model karena Option Box Tipe kosong</t>
  </si>
  <si>
    <t>1. Brand : "DAIHATSU"
2. Tipe : "Xenia"</t>
  </si>
  <si>
    <t>1. Memilih pilihan yang tersedia pada Option Box Brand sesuai dengan Test Data
2. Memilih pilihan yang tersedia pada Option Box Tipe sesuai dengan Test Data</t>
  </si>
  <si>
    <t>Option Box Tipe menampilkan daftar tipe yang dapat dipilih sesuai dengan Option Box Brand yang dipilih yaitu "DAIHATSU"</t>
  </si>
  <si>
    <t>Pada halaman Kalkulator Kredit Mobil Baru, Option Box Model menampilkan daftar model mobil yang dapat dipilih sesuai dengan Option Box Brand dan Option Box Tipe yang dipilih</t>
  </si>
  <si>
    <t>Pada halaman Kalkulator Kredit Mobil Baru, Option Box Tipe menampilkan daftar tipe mobil yang dapat dipilih sesuai dengan Option Box Brand yang dipilih</t>
  </si>
  <si>
    <t>1. Memilih pilihan yang tersedia pada Option Box Brand sesuai dengan Test Data
2. Memilih pilihan yang tersedia pada Option Box Tipe sesuai dengan Test Data
3. Memilih pilihan yang tersedia pada Option Box Model sesuai dengan Test Data</t>
  </si>
  <si>
    <t>TC110006</t>
  </si>
  <si>
    <t>TC110007</t>
  </si>
  <si>
    <t>TC110008</t>
  </si>
  <si>
    <t>Pada halaman Kalkulator Kredit Mobil Baru, Option Box Tahun menampilkan hanya tahun saat ini dan tahun sebelumnya.</t>
  </si>
  <si>
    <t>1. Memilih Option Box Tahun</t>
  </si>
  <si>
    <t>Option Box Tahun menampilkan hanya tahun saat ini dan tahun sebelumnya.</t>
  </si>
  <si>
    <t>TC110009</t>
  </si>
  <si>
    <t>1. Memilih Option Box DP (%)</t>
  </si>
  <si>
    <t>TC110010</t>
  </si>
  <si>
    <t>1. Memilih Option Box Tenor</t>
  </si>
  <si>
    <t>TC110011</t>
  </si>
  <si>
    <t>Pada halaman Kalkulator Kredit Mobil Baru, ketika mencoba memilih Option Box Area Pengajuan, menampilkan pilihan semua area pengajuan yang tersedia</t>
  </si>
  <si>
    <t>1. Memilih Option Box Area Pengajuan</t>
  </si>
  <si>
    <t>Option Box Area Pengajuan menampilkan pilihan semua area pengajuan yang tersedia, yaitu:
1. DKI Jakarta dan Banten
2. Jawa Barat
3. Jawa Tengah dan DIY
4. Jawa Timur, Bali, dan sekitarnya
5. Sumatera dan sekitarnya
6. Kalimantan, Sulawesi, Papua, dan sekitarnya</t>
  </si>
  <si>
    <t>TC110012</t>
  </si>
  <si>
    <t>Pada halaman Kalkulator Kredit Mobil Baru, CheckBox "Pilih Semua Rekomendasi Asuransi" secara default terpilih / ter-checklist</t>
  </si>
  <si>
    <t>CheckBox "Pilih Semua Rekomendasi Asuransi" secara default terpilih / ter-checklist</t>
  </si>
  <si>
    <t>TC110013</t>
  </si>
  <si>
    <t>Pada halaman Kalkulator Kredit Mobil Baru, jika CheckBox "Pilih Semua Rekomendasi Asuransi" terpilih / ter-checklist, kemudian mengklik Option Box "Lihat Detail Asuransi" di bawahnya, maka layar menampilkan daftar Paket Asuransi dengan Radio Button yang secara default memilih "Total  Loss Only", Pembayaran Asuransi uang secara default memilih "Cash" dan Checkbox "Astra Credit Protection" secara default terpilih/terchecklist</t>
  </si>
  <si>
    <t>1. Memilih/mengexpand Option Box "Lihat Detail Asuransi"</t>
  </si>
  <si>
    <t>Menampilkan daftar Paket Asuransi dengan Radio Button yang secara default memilih "Total  Loss Only", Pembayaran Asuransi uang secara default memilih "Cash" dan Checkbox "Astra Credit Protection" secara default terpilih/terchecklist</t>
  </si>
  <si>
    <t>TC110014</t>
  </si>
  <si>
    <t xml:space="preserve">Pada Halaman Kalkulator Kredit Mobil Baru, Button "Hitung Simulasi" tidak dapat diklik jika field Brand, Tipe, Model, Tahun, dan Harga OTR kosong </t>
  </si>
  <si>
    <t>1. Klik tombol "Hitung Simulasi"</t>
  </si>
  <si>
    <t>Tombol "Hitung Simulasi" tidak dapat diklik</t>
  </si>
  <si>
    <t>TC110015</t>
  </si>
  <si>
    <t>1. Brand : "DAIHATSU"
2. Tipe : "ALL NEW SIRION"
3. Model : "1.3 D FMC AT"
4. Tahun : "2022"
5. Harga OTR : "Rp. 105,000,000"
6. DP (%) : "20"
7. Tenor : "60"
8. Area Pengajuan : "DKI Jakarta dan Banten"</t>
  </si>
  <si>
    <t>TC110016</t>
  </si>
  <si>
    <t>Pada halaman Kalkulator Kredit Mobil Baru, setelah mengisi semua field untuk Kalkulator Kredit Mobil Baru, kemudian menekan tombol "Hitung Simulasi", kemudian menekan tombol "Ajukan Pembiayaan", layar menampilkan Pop Up yang bertuliskan "Ajukan sebagai:" dengan default tab yang aktif adalah tab "Guest" yang berisi field Nama Sesuai KTP, Nomor Handphone, email, dan tombol "Ajukan"</t>
  </si>
  <si>
    <t>Menampilkan Pop Up yang bertuliskan "Ajukan sebagai:" dengan default tab yang aktif adalah tab "Guest" yang berisi field Nama Sesuai KTP, Nomor Handphone, email, dan tombol "Ajukan"</t>
  </si>
  <si>
    <t>Pada halaman Kalkulator Kredit Mobil Baru, setelah mengisi semua field untuk Kalkulator Kredit Mobil Baru, kemudian menekan tombol "Hitung Simulasi", kemudian menekan tombol "Ajukan Pembiayaan", layar menampilkan Pop Up yang bertuliskan "Ajukan sebagai:" dengan default tab yang aktif adalah tab "Guest" kemudian menekan tab "Pengguna ACC One", layar menampilkan field berupa Email atau Nomor Handphone, Kata sandi, Text Button "Lupa kata sandi?", button "Masuk", dan Text Button "Daftar"</t>
  </si>
  <si>
    <t>1. Klik tab "Pengguna ACC One"</t>
  </si>
  <si>
    <t>Menampilkan field berupa Email atau Nomor Handphone, Kata sandi, Text Button "Lupa kata sandi?", button "Masuk", dan Text Button "Daftar"</t>
  </si>
  <si>
    <t>TC110017</t>
  </si>
  <si>
    <t>1. Nama Sesuai KTP : "Muhammad Yasin"
2. No Handphone : "082131779480"
3. Email : "yasingammarkanari@gmail.com"</t>
  </si>
  <si>
    <t>1. Klik tombol "Ajukan Pembiayaan"</t>
  </si>
  <si>
    <t>Pada halaman Kalkulator Kredit Mobil Baru, Option Box DP (%) menampilkan nilai 20, 25, 30, 35, dan 40.</t>
  </si>
  <si>
    <t>Option Box DP (%) menampilkan nilai nilai 20, 25, 30, 35, dan 40.</t>
  </si>
  <si>
    <t>Pada halaman Kalkulator Kredit Mobil Baru, Option Box Tenor menampilkan nilai 12, 24, 36, 48, dan 60.</t>
  </si>
  <si>
    <t>Option Box Tenor menampilkan nilai 12, 24, 36, 48, dan 60.</t>
  </si>
  <si>
    <t>1. Browser Chrome
2. Base URL Web ACC One</t>
  </si>
  <si>
    <t>Berhasil menampilkan nilai Angsuran Per Bulan dan TDP yang sesuai dengan hasil Hitung Simulasi</t>
  </si>
  <si>
    <t>Berhasilmenampilkan daftar tipe yang dapat dipilih sesuai dengan Option Box Brand yang dipilih yaitu "DAIHATSU"</t>
  </si>
  <si>
    <t>1. Brand : "TOYOTA"
2. Tipe : "ALL NEW ALPHARD"
3. Model : "S A/T"</t>
  </si>
  <si>
    <t>Option Box Model menampilkan daftar model mobil yang dapat dipilih sesuai dengan Option Box Brand dan Option Box Tipe yang dipilih, yaitu Brand "TOYOTA" dengan Tipe "ALL NEW ALPHARD"</t>
  </si>
  <si>
    <t>Berhasil menampilkan daftar model mobil yang dapat dipilih sesuai dengan Option Box Brand dan Option Box Tipe yang dipilih, yaitu Brand "TOYOTA" dengan Tipe "ALL NEW ALPHARD"</t>
  </si>
  <si>
    <t>Berhasil menampilkan Pop Up yang bertuliskan "Ajukan sebagai:" dengan default tab yang aktif adalah tab "Guest" yang berisi field Nama Sesuai KTP, Nomor Handphone, email, dan tombol "Ajukan"</t>
  </si>
  <si>
    <t>Positive.TC110001</t>
  </si>
  <si>
    <t>TC110018</t>
  </si>
  <si>
    <t>1. Menginput field Harga OTR sesuai dengan Test Data</t>
  </si>
  <si>
    <t>Pada halaman Kalkulator Kredit Mobil Baru, jika semua field diisi, dan field Harga OTR diisi dengan harga bernilai negatif, maka sistem tidak menghitung Simulasi dan ditampilkan alert "nilai tidak valid"</t>
  </si>
  <si>
    <t>Sistem tidak menghitung Simulasi dan ditampilkan alert "nilai tidak valid"</t>
  </si>
  <si>
    <t>1. Menginput field Nama Sesuai KTP, No Handphone, dan Email sesuai dengan Test Data</t>
  </si>
  <si>
    <t>Berhasil melakukan Pengajuan Pembiayaan sebagai Guest</t>
  </si>
  <si>
    <t>TC110019</t>
  </si>
  <si>
    <t>Pada halaman Kalkulator Kredit Mobil, ketika ingin mengajukan Pembiayaan Mobil sebagai Guest, dengan mengisi Nama Sesuai KTP, No Handphone yang valid, dan Email yang valid, maka dapat mengajukan Pembiayaan sebagai Guest</t>
  </si>
  <si>
    <t>Positive.TC110015</t>
  </si>
  <si>
    <t>1. Nama Sesuai KTP : "Muhammad Yasin"
2. No Handphone : "082131779480"
3. Email : "yasingammarkanari"</t>
  </si>
  <si>
    <t>Pada halaman Kalkulator Kredit Mobil, ketika ingin mengajukan Pembiayaan Mobil sebagai Guest, dengan mengisi Nama Sesuai KTP, No Handphone yang valid, dan Email tidak valid, maka tidak dapat mengajukan Pembiayaan sebagai Guest</t>
  </si>
  <si>
    <t>Tidak berhasil melakukan Pengajuan Pembiayaan sebagai Guest</t>
  </si>
  <si>
    <t>TC110020</t>
  </si>
  <si>
    <t>Pada halaman Kalkulator Kredit Mobil, ketika ingin mengajukan Pembiayaan Mobil sebagai Guest, dengan mengisi Nama Sesuai KTP, No Handphone tidak valid, dan Email yang valid, maka tidak dapat mengajukan Pembiayaan sebagai Guest</t>
  </si>
  <si>
    <t>1. Nama Sesuai KTP : "Muhammad Yasin"
2. No Handphone : "082122223333"
3. Email : "yasingammarkanari@gmail.com"</t>
  </si>
  <si>
    <t>TC110021</t>
  </si>
  <si>
    <t>Pada halaman Kalkulator Kredit Mobil, ketika ingin mengajukan Pembiayaan Mobil sebagai Guest, dengan mengisi Nama Sesuai KTP, No Handphone tidak valid, dan Email tidak valid, maka tidak dapat mengajukan Pembiayaan sebagai Guest</t>
  </si>
  <si>
    <t>1. Nama Sesuai KTP : "Muhammad Yasin"
2. No Handphone : "082122223333"
3. Email : "yasingammarkanari"</t>
  </si>
  <si>
    <t>TC110022</t>
  </si>
  <si>
    <t>Pada halaman Kalkulator Kredit Mobil, ketika ingin mengajukan Pembiayaan Mobil sebagai Guest, dengan mengisi Nama Tidak Sesuai KTP, No Handphone valid, dan Email valid, maka tidak dapat mengajukan Pembiayaan sebagai Guest</t>
  </si>
  <si>
    <t>1. Nama Sesuai KTP : "Worororo Foshfoshfoshhhhh"
2. No Handphone : "082131779480"
3. Email : "yasingammarkanari@gmail.com"</t>
  </si>
  <si>
    <t>Pada halaman Kalkulator Kredit Mobil, ketika ingin mengajukan Pembiayaan Mobil sebagai Guest, dengan mengisi Nama Tidak Sesuai KTP, No Handphone tidak valid, dan Email valid, maka tidak dapat mengajukan Pembiayaan sebagai Guest</t>
  </si>
  <si>
    <t>1. Nama Sesuai KTP : "Worororo Foshfoshfoshhhhh"
2. No Handphone : "0821"
3. Email : "yasingammarkanari@gmail.com"</t>
  </si>
  <si>
    <t>TC110023</t>
  </si>
  <si>
    <t>TC110024</t>
  </si>
  <si>
    <t>Pada halaman Kalkulator Kredit Mobil, ketika ingin mengajukan Pembiayaan Mobil sebagai Guest, dengan mengisi Nama Tidak Sesuai KTP, No Handphone valid, dan Email tidak valid, maka tidak dapat mengajukan Pembiayaan sebagai Guest</t>
  </si>
  <si>
    <t>1. Nama Sesuai KTP : "Worororo Foshfoshfoshhhhh"
2. No Handphone : "082131779480"
3. Email : "yasingammarkanari"</t>
  </si>
  <si>
    <t>TC110025</t>
  </si>
  <si>
    <t>Pada halaman Kalkulator Kredit Mobil, ketika ingin mengajukan Pembiayaan Mobil sebagai Guest, dengan mengisi Nama Tidak Sesuai KTP, No Handphone tidak valid, dan Email tidak valid, maka tidak dapat mengajukan Pembiayaan sebagai Guest</t>
  </si>
  <si>
    <t>1. Nama Sesuai KTP : "Worororo Foshfoshfoshhhhh"
2. No Handphone : "0821"
3. Email : "yasingammarkanari"</t>
  </si>
  <si>
    <t>TC110026</t>
  </si>
  <si>
    <t>Pada halaman Kalkulator Kredit Mobil Baru, setelah mengisi semua field untuk Kalkulator Kredit Mobil Baru dengan Harga OTR bernilai 0 rupiah, maka tidak dapat melakukan proses Hitung Simulasi</t>
  </si>
  <si>
    <t>1. Brand : "DAIHATSU"
2. Tipe : "ALL NEW SIRION"
3. Model : "1.3 D FMC AT"
4. Tahun : "2021"
5. Harga OTR : "Rp. 0"
6. DP (%) : "20"
7. Tenor : "60"
8. Area Pengajuan : "DKI Jakarta dan Banten"</t>
  </si>
  <si>
    <t>Tidak dapat melakukan proses Hitung Simulasi</t>
  </si>
  <si>
    <t>Berhasil menampilkan nilai nilai 20, 25, 30, 35, dan 40.</t>
  </si>
  <si>
    <t>Berhasil menampilkan nilai 12, 24, 36, 48, dan 60.</t>
  </si>
  <si>
    <t>Berhasil menampilkan pilihan semua area pengajuan yang tersedia, yaitu:
1. DKI Jakarta dan Banten
2. Jawa Barat
3. Jawa Tengah dan DIY
4. Jawa Timur, Bali, dan sekitarnya
5. Sumatera dan sekitarnya
6. Kalimantan, Sulawesi, Papua, dan sekitarnya</t>
  </si>
  <si>
    <t>True : CheckBox "Pilih Semua Rekomendasi Asuransi" secara default terpilih / ter-checklist</t>
  </si>
  <si>
    <t>Berhasil menampilkan daftar Paket Asuransi dengan Radio Button yang secara default memilih "Total  Loss Only", Pembayaran Asuransi uang secara default memilih "Cash" dan Checkbox "Astra Credit Protection" secara default terpilih/terchecklist</t>
  </si>
  <si>
    <t>True : Tombol "Hitung Simulasi" tidak dapat diklik</t>
  </si>
  <si>
    <t>Berhasil menampilkan field berupa Email atau Nomor Handphone, Kata sandi, Text Button "Lupa kata sandi?", button "Masuk", dan Text Button "Daftar"</t>
  </si>
  <si>
    <t>1. Brand : "DAIHATSU"
2. Tipe : "ALL NEW SIRION"
3. Model : "1.3 D FMC AT"
4. Tahun : "2022"
5. Harga OTR : "Rp. -1,005,000,000"
6. DP (%) : "20"
7. Tenor : "60"
8. Area Pengajuan : "DKI Jakarta dan Banten"</t>
  </si>
  <si>
    <t>Tidak ada alert dan sistem tetap melakukan Hitung Simulasi dan ditampilkan nilai Angsuran Per Bulan negatif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</si>
</sst>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dd\-mmm\-yyyy\ hh\:mm"/>
    <numFmt numFmtId="166" formatCode="dd\ mmm\ yy"/>
  </numFmts>
  <fonts count="20">
    <font>
      <sz val="12"/>
      <color theme="1"/>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sz val="10"/>
      <color theme="1"/>
      <name val="Arial"/>
      <family val="2"/>
    </font>
    <font>
      <sz val="10"/>
      <color theme="1"/>
      <name val="Calibri"/>
      <family val="2"/>
      <scheme val="minor"/>
    </font>
    <font>
      <sz val="12"/>
      <color theme="8" tint="0.79998168889431442"/>
      <name val="Arial"/>
      <family val="2"/>
    </font>
    <font>
      <b/>
      <sz val="15"/>
      <color theme="3"/>
      <name val="ArialMT"/>
      <family val="2"/>
    </font>
    <font>
      <b/>
      <sz val="11"/>
      <color theme="0"/>
      <name val="ArialMT"/>
      <family val="2"/>
    </font>
    <font>
      <sz val="10"/>
      <color theme="1"/>
      <name val="ArialMT"/>
      <family val="2"/>
    </font>
    <font>
      <sz val="11"/>
      <color rgb="FF000000"/>
      <name val="Arial"/>
      <family val="2"/>
    </font>
    <font>
      <sz val="11"/>
      <color theme="1"/>
      <name val="Arial"/>
      <family val="2"/>
    </font>
    <font>
      <sz val="11"/>
      <color rgb="FF375623"/>
      <name val="ArialMT"/>
    </font>
    <font>
      <sz val="11"/>
      <color rgb="FF003300"/>
      <name val="Arial"/>
      <family val="2"/>
    </font>
    <font>
      <b/>
      <sz val="11"/>
      <color theme="0"/>
      <name val="Arial"/>
      <family val="2"/>
    </font>
  </fonts>
  <fills count="5">
    <fill>
      <patternFill patternType="none"/>
    </fill>
    <fill>
      <patternFill patternType="gray125"/>
    </fill>
    <fill>
      <patternFill patternType="solid">
        <fgColor theme="6" tint="0.79998168889431442"/>
        <bgColor indexed="64"/>
      </patternFill>
    </fill>
    <fill>
      <patternFill patternType="solid">
        <fgColor theme="8"/>
        <bgColor theme="8"/>
      </patternFill>
    </fill>
    <fill>
      <patternFill patternType="solid">
        <fgColor theme="8" tint="0.79998168889431442"/>
        <bgColor theme="8" tint="0.79998168889431442"/>
      </patternFill>
    </fill>
  </fills>
  <borders count="11">
    <border>
      <left/>
      <right/>
      <top/>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
      <left/>
      <right/>
      <top/>
      <bottom style="thick">
        <color theme="4"/>
      </bottom>
      <diagonal/>
    </border>
    <border>
      <left/>
      <right/>
      <top style="thin">
        <color indexed="64"/>
      </top>
      <bottom style="thin">
        <color theme="8" tint="0.39997558519241921"/>
      </bottom>
      <diagonal/>
    </border>
    <border>
      <left/>
      <right/>
      <top style="thin">
        <color theme="8" tint="0.39997558519241921"/>
      </top>
      <bottom style="thin">
        <color theme="8" tint="0.39997558519241921"/>
      </bottom>
      <diagonal/>
    </border>
    <border>
      <left/>
      <right/>
      <top style="thin">
        <color theme="8" tint="0.39997558519241921"/>
      </top>
      <bottom style="thin">
        <color indexed="64"/>
      </bottom>
      <diagonal/>
    </border>
    <border>
      <left/>
      <right style="thin">
        <color indexed="64"/>
      </right>
      <top style="thin">
        <color theme="8" tint="0.39997558519241921"/>
      </top>
      <bottom style="thin">
        <color theme="8" tint="0.39997558519241921"/>
      </bottom>
      <diagonal/>
    </border>
    <border>
      <left/>
      <right style="thin">
        <color indexed="64"/>
      </right>
      <top style="thin">
        <color theme="8" tint="0.39997558519241921"/>
      </top>
      <bottom style="thin">
        <color indexed="64"/>
      </bottom>
      <diagonal/>
    </border>
    <border>
      <left/>
      <right style="thin">
        <color indexed="64"/>
      </right>
      <top style="thin">
        <color theme="8" tint="0.39997558519241921"/>
      </top>
      <bottom/>
      <diagonal/>
    </border>
  </borders>
  <cellStyleXfs count="4">
    <xf numFmtId="0" fontId="0" fillId="0" borderId="0"/>
    <xf numFmtId="0" fontId="3" fillId="0" borderId="1" applyNumberFormat="0" applyFill="0" applyAlignment="0" applyProtection="0"/>
    <xf numFmtId="0" fontId="4" fillId="0" borderId="2" applyNumberFormat="0" applyFill="0" applyAlignment="0" applyProtection="0"/>
    <xf numFmtId="0" fontId="12" fillId="0" borderId="4" applyNumberFormat="0" applyFill="0" applyAlignment="0" applyProtection="0"/>
  </cellStyleXfs>
  <cellXfs count="60">
    <xf numFmtId="0" fontId="0" fillId="0" borderId="0" xfId="0"/>
    <xf numFmtId="0" fontId="0" fillId="0" borderId="0" xfId="0" applyAlignment="1">
      <alignment wrapText="1"/>
    </xf>
    <xf numFmtId="0" fontId="0" fillId="0" borderId="0" xfId="0" applyAlignment="1">
      <alignment horizontal="center"/>
    </xf>
    <xf numFmtId="0" fontId="5" fillId="0" borderId="0" xfId="0" applyFont="1"/>
    <xf numFmtId="0" fontId="5" fillId="0" borderId="0" xfId="0" applyNumberFormat="1" applyFont="1"/>
    <xf numFmtId="0" fontId="7" fillId="0" borderId="0" xfId="0" applyFont="1"/>
    <xf numFmtId="0" fontId="8" fillId="0" borderId="0" xfId="0" applyFont="1" applyAlignment="1">
      <alignment vertical="top"/>
    </xf>
    <xf numFmtId="0" fontId="8" fillId="0" borderId="0" xfId="0" applyFont="1" applyAlignment="1">
      <alignment vertical="top" wrapText="1"/>
    </xf>
    <xf numFmtId="14" fontId="8" fillId="0" borderId="0" xfId="0" applyNumberFormat="1" applyFont="1" applyAlignment="1">
      <alignment vertical="top" wrapText="1"/>
    </xf>
    <xf numFmtId="0" fontId="8" fillId="0" borderId="0" xfId="0" applyFont="1" applyAlignment="1">
      <alignment horizontal="center" vertical="top" wrapText="1"/>
    </xf>
    <xf numFmtId="14" fontId="7" fillId="0" borderId="0" xfId="0" applyNumberFormat="1" applyFont="1" applyAlignment="1">
      <alignment horizontal="left" vertical="center"/>
    </xf>
    <xf numFmtId="0" fontId="7" fillId="0" borderId="0" xfId="0" applyFont="1" applyAlignment="1">
      <alignment horizontal="left" vertical="top"/>
    </xf>
    <xf numFmtId="0" fontId="9" fillId="0" borderId="0" xfId="0" applyFont="1"/>
    <xf numFmtId="0" fontId="10" fillId="0" borderId="0" xfId="0" applyFont="1"/>
    <xf numFmtId="0" fontId="11" fillId="2" borderId="0" xfId="0" applyFont="1" applyFill="1"/>
    <xf numFmtId="0" fontId="11" fillId="0" borderId="0" xfId="0" applyFont="1" applyFill="1"/>
    <xf numFmtId="0" fontId="5" fillId="0" borderId="0" xfId="0" applyFont="1" applyFill="1"/>
    <xf numFmtId="0" fontId="13" fillId="3" borderId="5" xfId="0" applyFont="1" applyFill="1" applyBorder="1" applyAlignment="1">
      <alignment horizontal="center" vertical="center" wrapText="1"/>
    </xf>
    <xf numFmtId="0" fontId="6" fillId="0" borderId="0" xfId="0" applyFont="1" applyFill="1" applyBorder="1" applyAlignment="1">
      <alignment horizontal="left" vertical="top" wrapText="1"/>
    </xf>
    <xf numFmtId="0" fontId="7" fillId="0" borderId="0" xfId="0" applyFont="1" applyFill="1"/>
    <xf numFmtId="0" fontId="6" fillId="0" borderId="0" xfId="0" applyFont="1" applyFill="1" applyBorder="1" applyAlignment="1">
      <alignment horizontal="center" vertical="top"/>
    </xf>
    <xf numFmtId="0" fontId="6" fillId="0" borderId="0" xfId="0" applyFont="1" applyFill="1" applyBorder="1" applyAlignment="1">
      <alignment horizontal="left" vertical="top"/>
    </xf>
    <xf numFmtId="164" fontId="6" fillId="0" borderId="0" xfId="0" applyNumberFormat="1" applyFont="1" applyFill="1" applyBorder="1" applyAlignment="1">
      <alignment horizontal="left" vertical="top"/>
    </xf>
    <xf numFmtId="165" fontId="6" fillId="0" borderId="0" xfId="0" applyNumberFormat="1" applyFont="1" applyFill="1" applyBorder="1" applyAlignment="1">
      <alignment horizontal="left" vertical="top"/>
    </xf>
    <xf numFmtId="0" fontId="14" fillId="0" borderId="0" xfId="0" applyFont="1" applyAlignment="1">
      <alignment horizontal="center" vertical="center" wrapText="1"/>
    </xf>
    <xf numFmtId="0" fontId="8" fillId="0" borderId="0" xfId="2" applyFont="1" applyFill="1" applyBorder="1" applyAlignment="1">
      <alignment horizontal="left" vertical="top"/>
    </xf>
    <xf numFmtId="166" fontId="8" fillId="0" borderId="0" xfId="2" applyNumberFormat="1" applyFont="1" applyFill="1" applyBorder="1" applyAlignment="1">
      <alignment horizontal="left" vertical="top"/>
    </xf>
    <xf numFmtId="0" fontId="8" fillId="0" borderId="0" xfId="3" applyFont="1" applyFill="1" applyBorder="1" applyAlignment="1">
      <alignment horizontal="left" vertical="top"/>
    </xf>
    <xf numFmtId="0" fontId="16" fillId="0" borderId="0" xfId="0" applyFont="1"/>
    <xf numFmtId="0" fontId="16" fillId="0" borderId="0" xfId="0" applyNumberFormat="1" applyFont="1"/>
    <xf numFmtId="0" fontId="19" fillId="0" borderId="1" xfId="1" applyFont="1" applyAlignment="1">
      <alignment horizontal="center" vertical="center"/>
    </xf>
    <xf numFmtId="0" fontId="19" fillId="0" borderId="1" xfId="1" applyFont="1" applyFill="1" applyAlignment="1">
      <alignment horizontal="center" vertical="center"/>
    </xf>
    <xf numFmtId="0" fontId="16" fillId="0" borderId="0" xfId="0" applyFont="1" applyAlignment="1">
      <alignment horizontal="center" vertical="center"/>
    </xf>
    <xf numFmtId="0" fontId="19" fillId="0" borderId="1" xfId="1" applyFont="1" applyFill="1" applyBorder="1" applyAlignment="1">
      <alignment horizontal="center" vertical="center" wrapText="1"/>
    </xf>
    <xf numFmtId="0" fontId="16" fillId="0" borderId="0" xfId="0" applyFont="1" applyAlignment="1">
      <alignment horizontal="center"/>
    </xf>
    <xf numFmtId="0" fontId="16" fillId="0" borderId="3" xfId="0" applyFont="1" applyBorder="1"/>
    <xf numFmtId="0" fontId="16" fillId="0" borderId="3" xfId="0" applyFont="1" applyBorder="1" applyAlignment="1">
      <alignment horizontal="center"/>
    </xf>
    <xf numFmtId="0" fontId="15" fillId="0" borderId="3" xfId="0" applyFont="1" applyBorder="1"/>
    <xf numFmtId="0" fontId="15" fillId="0" borderId="3" xfId="0" applyFont="1" applyBorder="1" applyAlignment="1">
      <alignment horizontal="center"/>
    </xf>
    <xf numFmtId="0" fontId="6" fillId="4" borderId="6" xfId="0" applyFont="1" applyFill="1" applyBorder="1" applyAlignment="1">
      <alignment horizontal="left" vertical="top"/>
    </xf>
    <xf numFmtId="0" fontId="6" fillId="4" borderId="6" xfId="0" applyFont="1" applyFill="1" applyBorder="1" applyAlignment="1">
      <alignment horizontal="left" vertical="top" wrapText="1"/>
    </xf>
    <xf numFmtId="164" fontId="6" fillId="4" borderId="6" xfId="0" applyNumberFormat="1" applyFont="1" applyFill="1" applyBorder="1" applyAlignment="1">
      <alignment horizontal="left" vertical="top"/>
    </xf>
    <xf numFmtId="165" fontId="6" fillId="4" borderId="6" xfId="0" applyNumberFormat="1" applyFont="1" applyFill="1" applyBorder="1" applyAlignment="1">
      <alignment horizontal="left" vertical="top"/>
    </xf>
    <xf numFmtId="165" fontId="6" fillId="4" borderId="8" xfId="0" applyNumberFormat="1" applyFont="1" applyFill="1" applyBorder="1" applyAlignment="1">
      <alignment horizontal="left" vertical="top"/>
    </xf>
    <xf numFmtId="0" fontId="6" fillId="0" borderId="6" xfId="0" applyFont="1" applyBorder="1" applyAlignment="1">
      <alignment horizontal="left" vertical="top"/>
    </xf>
    <xf numFmtId="0" fontId="6" fillId="0" borderId="6" xfId="0" applyFont="1" applyBorder="1" applyAlignment="1">
      <alignment horizontal="left" vertical="top" wrapText="1"/>
    </xf>
    <xf numFmtId="164" fontId="6" fillId="0" borderId="6" xfId="0" applyNumberFormat="1" applyFont="1" applyBorder="1" applyAlignment="1">
      <alignment horizontal="left" vertical="top"/>
    </xf>
    <xf numFmtId="165" fontId="6" fillId="0" borderId="6" xfId="0" applyNumberFormat="1" applyFont="1" applyBorder="1" applyAlignment="1">
      <alignment horizontal="left" vertical="top"/>
    </xf>
    <xf numFmtId="165" fontId="6" fillId="0" borderId="8" xfId="0" applyNumberFormat="1" applyFont="1" applyBorder="1" applyAlignment="1">
      <alignment horizontal="left" vertical="top"/>
    </xf>
    <xf numFmtId="165" fontId="6" fillId="0" borderId="10" xfId="0" applyNumberFormat="1" applyFont="1" applyFill="1" applyBorder="1" applyAlignment="1">
      <alignment horizontal="left" vertical="top"/>
    </xf>
    <xf numFmtId="0" fontId="6" fillId="0" borderId="0" xfId="0" applyFont="1" applyFill="1" applyBorder="1" applyAlignment="1">
      <alignment wrapText="1"/>
    </xf>
    <xf numFmtId="0" fontId="6" fillId="0" borderId="0" xfId="0" applyFont="1" applyFill="1" applyBorder="1" applyAlignment="1">
      <alignment vertical="top"/>
    </xf>
    <xf numFmtId="0" fontId="6" fillId="0" borderId="0" xfId="0" applyFont="1" applyFill="1" applyBorder="1" applyAlignment="1">
      <alignment vertical="top" wrapText="1"/>
    </xf>
    <xf numFmtId="0" fontId="6" fillId="0" borderId="7" xfId="0" applyFont="1" applyBorder="1" applyAlignment="1">
      <alignment horizontal="left" vertical="top"/>
    </xf>
    <xf numFmtId="0" fontId="6" fillId="0" borderId="7" xfId="0" applyFont="1" applyBorder="1" applyAlignment="1">
      <alignment vertical="top"/>
    </xf>
    <xf numFmtId="0" fontId="6" fillId="0" borderId="7" xfId="0" applyFont="1" applyBorder="1" applyAlignment="1">
      <alignment horizontal="left" vertical="top" wrapText="1"/>
    </xf>
    <xf numFmtId="164" fontId="6" fillId="0" borderId="7" xfId="0" applyNumberFormat="1" applyFont="1" applyBorder="1" applyAlignment="1">
      <alignment horizontal="left" vertical="top"/>
    </xf>
    <xf numFmtId="165" fontId="6" fillId="0" borderId="7" xfId="0" applyNumberFormat="1" applyFont="1" applyBorder="1" applyAlignment="1">
      <alignment horizontal="left" vertical="top"/>
    </xf>
    <xf numFmtId="165" fontId="6" fillId="0" borderId="9" xfId="0" applyNumberFormat="1" applyFont="1" applyBorder="1" applyAlignment="1">
      <alignment horizontal="left" vertical="top"/>
    </xf>
    <xf numFmtId="0" fontId="6" fillId="0" borderId="7" xfId="0" applyFont="1" applyBorder="1" applyAlignment="1">
      <alignment vertical="top" wrapText="1"/>
    </xf>
  </cellXfs>
  <cellStyles count="4">
    <cellStyle name="Heading 1" xfId="3" builtinId="16"/>
    <cellStyle name="Heading 2" xfId="1" builtinId="17"/>
    <cellStyle name="Heading 3" xfId="2" builtinId="18"/>
    <cellStyle name="Normal" xfId="0" builtinId="0"/>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center" vertical="top" textRotation="0" wrapText="0"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border outline="0">
        <bottom style="thick">
          <color theme="4" tint="0.499984740745262"/>
        </bottom>
      </border>
    </dxf>
    <dxf>
      <font>
        <b/>
        <i val="0"/>
        <strike val="0"/>
        <condense val="0"/>
        <extend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DF4C26"/>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14</c:v>
                </c:pt>
                <c:pt idx="1">
                  <c:v>12</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13</c:v>
                </c:pt>
                <c:pt idx="1">
                  <c:v>1</c:v>
                </c:pt>
                <c:pt idx="2">
                  <c:v>1</c:v>
                </c:pt>
                <c:pt idx="3">
                  <c:v>12</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c:f>
              <c:strCache>
                <c:ptCount val="1"/>
                <c:pt idx="0">
                  <c:v>1.1. Kalkulator Kredit Mobil Baru</c:v>
                </c:pt>
              </c:strCache>
            </c:strRef>
          </c:cat>
          <c:val>
            <c:numRef>
              <c:f>Dashboard!$C$34</c:f>
              <c:numCache>
                <c:formatCode>General</c:formatCode>
                <c:ptCount val="1"/>
                <c:pt idx="0">
                  <c:v>26</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12856</xdr:colOff>
      <xdr:row>0</xdr:row>
      <xdr:rowOff>59691</xdr:rowOff>
    </xdr:from>
    <xdr:to>
      <xdr:col>10</xdr:col>
      <xdr:colOff>317500</xdr:colOff>
      <xdr:row>30</xdr:row>
      <xdr:rowOff>190500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50801</xdr:colOff>
      <xdr:row>0</xdr:row>
      <xdr:rowOff>57151</xdr:rowOff>
    </xdr:from>
    <xdr:to>
      <xdr:col>6</xdr:col>
      <xdr:colOff>342900</xdr:colOff>
      <xdr:row>30</xdr:row>
      <xdr:rowOff>190500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38100</xdr:rowOff>
        </xdr:from>
        <xdr:to>
          <xdr:col>1</xdr:col>
          <xdr:colOff>1272540</xdr:colOff>
          <xdr:row>8</xdr:row>
          <xdr:rowOff>137160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D" sz="11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1508760</xdr:colOff>
          <xdr:row>7</xdr:row>
          <xdr:rowOff>38100</xdr:rowOff>
        </xdr:from>
        <xdr:to>
          <xdr:col>2</xdr:col>
          <xdr:colOff>624840</xdr:colOff>
          <xdr:row>8</xdr:row>
          <xdr:rowOff>137160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D" sz="1100" b="0" i="0" u="none" strike="noStrike" baseline="0">
                  <a:solidFill>
                    <a:srgbClr val="375623"/>
                  </a:solidFill>
                  <a:latin typeface="ArialMT"/>
                </a:rPr>
                <a:t>Delete Last Record</a:t>
              </a:r>
            </a:p>
          </xdr:txBody>
        </xdr:sp>
        <xdr:clientData fPrintsWithSheet="0"/>
      </xdr:twoCellAnchor>
    </mc:Choice>
    <mc:Fallback/>
  </mc:AlternateContent>
  <xdr:twoCellAnchor>
    <xdr:from>
      <xdr:col>0</xdr:col>
      <xdr:colOff>1</xdr:colOff>
      <xdr:row>0</xdr:row>
      <xdr:rowOff>0</xdr:rowOff>
    </xdr:from>
    <xdr:to>
      <xdr:col>6</xdr:col>
      <xdr:colOff>800101</xdr:colOff>
      <xdr:row>7</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 y="0"/>
          <a:ext cx="5928360" cy="1173480"/>
          <a:chOff x="0" y="0"/>
          <a:chExt cx="6024422" cy="1130300"/>
        </a:xfrm>
      </xdr:grpSpPr>
      <xdr:sp macro="" textlink="">
        <xdr:nvSpPr>
          <xdr:cNvPr id="18" name="Rectangle 17">
            <a:extLst>
              <a:ext uri="{FF2B5EF4-FFF2-40B4-BE49-F238E27FC236}">
                <a16:creationId xmlns:a16="http://schemas.microsoft.com/office/drawing/2014/main" id="{00000000-0008-0000-0100-000012000000}"/>
              </a:ext>
            </a:extLst>
          </xdr:cNvPr>
          <xdr:cNvSpPr/>
        </xdr:nvSpPr>
        <xdr:spPr>
          <a:xfrm>
            <a:off x="1" y="0"/>
            <a:ext cx="5575300" cy="1130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100-000013000000}"/>
              </a:ext>
            </a:extLst>
          </xdr:cNvPr>
          <xdr:cNvSpPr>
            <a:spLocks/>
          </xdr:cNvSpPr>
        </xdr:nvSpPr>
        <xdr:spPr>
          <a:xfrm>
            <a:off x="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Project Name</a:t>
            </a:r>
          </a:p>
        </xdr:txBody>
      </xdr:sp>
      <xdr:sp macro="" textlink="">
        <xdr:nvSpPr>
          <xdr:cNvPr id="20" name="Rectangle 19">
            <a:extLst>
              <a:ext uri="{FF2B5EF4-FFF2-40B4-BE49-F238E27FC236}">
                <a16:creationId xmlns:a16="http://schemas.microsoft.com/office/drawing/2014/main" id="{00000000-0008-0000-0100-000014000000}"/>
              </a:ext>
            </a:extLst>
          </xdr:cNvPr>
          <xdr:cNvSpPr/>
        </xdr:nvSpPr>
        <xdr:spPr>
          <a:xfrm>
            <a:off x="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Web</a:t>
            </a:r>
            <a:r>
              <a:rPr lang="en-US" sz="1100" baseline="0">
                <a:solidFill>
                  <a:schemeClr val="tx1">
                    <a:lumMod val="50000"/>
                    <a:lumOff val="50000"/>
                  </a:schemeClr>
                </a:solidFill>
                <a:latin typeface="Arial Rounded MT Bold" panose="020F0704030504030204" pitchFamily="34" charset="77"/>
              </a:rPr>
              <a:t> ACC One</a:t>
            </a:r>
            <a:endParaRPr lang="en-US" sz="1100">
              <a:solidFill>
                <a:schemeClr val="tx1">
                  <a:lumMod val="50000"/>
                  <a:lumOff val="50000"/>
                </a:schemeClr>
              </a:solidFill>
              <a:latin typeface="Arial Rounded MT Bold" panose="020F0704030504030204" pitchFamily="34" charset="77"/>
            </a:endParaRPr>
          </a:p>
        </xdr:txBody>
      </xdr:sp>
      <xdr:sp macro="" textlink="">
        <xdr:nvSpPr>
          <xdr:cNvPr id="21" name="Rectangle 20">
            <a:extLst>
              <a:ext uri="{FF2B5EF4-FFF2-40B4-BE49-F238E27FC236}">
                <a16:creationId xmlns:a16="http://schemas.microsoft.com/office/drawing/2014/main" id="{00000000-0008-0000-0100-000015000000}"/>
              </a:ext>
            </a:extLst>
          </xdr:cNvPr>
          <xdr:cNvSpPr>
            <a:spLocks/>
          </xdr:cNvSpPr>
        </xdr:nvSpPr>
        <xdr:spPr>
          <a:xfrm>
            <a:off x="254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Start</a:t>
            </a:r>
            <a:r>
              <a:rPr lang="en-US" sz="1600" baseline="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 Date</a:t>
            </a:r>
            <a:endPar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sp macro="" textlink="">
        <xdr:nvSpPr>
          <xdr:cNvPr id="22" name="Rectangle 21">
            <a:extLst>
              <a:ext uri="{FF2B5EF4-FFF2-40B4-BE49-F238E27FC236}">
                <a16:creationId xmlns:a16="http://schemas.microsoft.com/office/drawing/2014/main" id="{00000000-0008-0000-0100-000016000000}"/>
              </a:ext>
            </a:extLst>
          </xdr:cNvPr>
          <xdr:cNvSpPr/>
        </xdr:nvSpPr>
        <xdr:spPr>
          <a:xfrm>
            <a:off x="254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05 May 2022</a:t>
            </a:r>
          </a:p>
        </xdr:txBody>
      </xdr:sp>
      <xdr:sp macro="" textlink="">
        <xdr:nvSpPr>
          <xdr:cNvPr id="23" name="Rectangle 22">
            <a:extLst>
              <a:ext uri="{FF2B5EF4-FFF2-40B4-BE49-F238E27FC236}">
                <a16:creationId xmlns:a16="http://schemas.microsoft.com/office/drawing/2014/main" id="{00000000-0008-0000-0100-000017000000}"/>
              </a:ext>
            </a:extLst>
          </xdr:cNvPr>
          <xdr:cNvSpPr>
            <a:spLocks/>
          </xdr:cNvSpPr>
        </xdr:nvSpPr>
        <xdr:spPr>
          <a:xfrm>
            <a:off x="281940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Base URL</a:t>
            </a:r>
          </a:p>
        </xdr:txBody>
      </xdr:sp>
      <xdr:sp macro="" textlink="">
        <xdr:nvSpPr>
          <xdr:cNvPr id="24" name="Rectangle 23">
            <a:extLst>
              <a:ext uri="{FF2B5EF4-FFF2-40B4-BE49-F238E27FC236}">
                <a16:creationId xmlns:a16="http://schemas.microsoft.com/office/drawing/2014/main" id="{00000000-0008-0000-0100-000018000000}"/>
              </a:ext>
            </a:extLst>
          </xdr:cNvPr>
          <xdr:cNvSpPr/>
        </xdr:nvSpPr>
        <xdr:spPr>
          <a:xfrm>
            <a:off x="2819400" y="294915"/>
            <a:ext cx="3205022"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https://os-test.acc.co.id/accone/Homepage</a:t>
            </a:r>
          </a:p>
        </xdr:txBody>
      </xdr:sp>
      <xdr:sp macro="" textlink="">
        <xdr:nvSpPr>
          <xdr:cNvPr id="25" name="Rectangle 24">
            <a:extLst>
              <a:ext uri="{FF2B5EF4-FFF2-40B4-BE49-F238E27FC236}">
                <a16:creationId xmlns:a16="http://schemas.microsoft.com/office/drawing/2014/main" id="{00000000-0008-0000-0100-000019000000}"/>
              </a:ext>
            </a:extLst>
          </xdr:cNvPr>
          <xdr:cNvSpPr>
            <a:spLocks/>
          </xdr:cNvSpPr>
        </xdr:nvSpPr>
        <xdr:spPr>
          <a:xfrm>
            <a:off x="28321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End date</a:t>
            </a:r>
          </a:p>
        </xdr:txBody>
      </xdr:sp>
      <xdr:sp macro="" textlink="">
        <xdr:nvSpPr>
          <xdr:cNvPr id="26" name="Rectangle 25">
            <a:extLst>
              <a:ext uri="{FF2B5EF4-FFF2-40B4-BE49-F238E27FC236}">
                <a16:creationId xmlns:a16="http://schemas.microsoft.com/office/drawing/2014/main" id="{00000000-0008-0000-0100-00001A000000}"/>
              </a:ext>
            </a:extLst>
          </xdr:cNvPr>
          <xdr:cNvSpPr/>
        </xdr:nvSpPr>
        <xdr:spPr>
          <a:xfrm>
            <a:off x="28321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06</a:t>
            </a:r>
            <a:r>
              <a:rPr lang="en-US" sz="1100" baseline="0">
                <a:solidFill>
                  <a:schemeClr val="tx1">
                    <a:lumMod val="50000"/>
                    <a:lumOff val="50000"/>
                  </a:schemeClr>
                </a:solidFill>
                <a:latin typeface="Arial Rounded MT Bold" panose="020F0704030504030204" pitchFamily="34" charset="77"/>
              </a:rPr>
              <a:t> May 2022</a:t>
            </a:r>
            <a:endParaRPr lang="en-US" sz="1100">
              <a:solidFill>
                <a:schemeClr val="tx1">
                  <a:lumMod val="50000"/>
                  <a:lumOff val="50000"/>
                </a:schemeClr>
              </a:solidFill>
              <a:latin typeface="Arial Rounded MT Bold" panose="020F0704030504030204" pitchFamily="34" charset="77"/>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57" dataDxfId="56" headerRowCellStyle="Heading 2">
  <autoFilter ref="H33:I37" xr:uid="{39B49D68-9E8A-D34A-B9C6-E6ABF7ECF4E2}"/>
  <tableColumns count="2">
    <tableColumn id="1" xr3:uid="{567DBF3E-6AAB-F44B-A620-2B81C9A6B114}" name="STATUS" dataDxfId="55"/>
    <tableColumn id="2" xr3:uid="{00650F91-5404-F04C-9013-56844C846874}" name="TOTAL" dataDxfId="54">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Q36" totalsRowShown="0" headerRowDxfId="53" dataDxfId="51" headerRowBorderDxfId="52" headerRowCellStyle="Heading 2">
  <autoFilter ref="N33:Q36" xr:uid="{E7F708E7-6029-1341-8251-DF3DDDFF7B00}"/>
  <tableColumns count="4">
    <tableColumn id="1" xr3:uid="{440FA0DB-848F-9F48-9EDE-A92BB70EB242}" name="PIC" dataDxfId="50"/>
    <tableColumn id="2" xr3:uid="{BCFB4232-A96D-B74B-ADE9-74DE4F804D8D}" name="TOTAL_x000a_(Programmer)" dataDxfId="49">
      <calculatedColumnFormula>COUNTIF(Table_test_case[PIC],TablePic[[#This Row],[PIC]])</calculatedColumnFormula>
    </tableColumn>
    <tableColumn id="3" xr3:uid="{D6ACB6D1-1B68-FB43-B671-B4F0F6AF5E43}" name="TOTAL_x000a_(Created)" dataDxfId="48">
      <calculatedColumnFormula>COUNTIF(Table_test_case[CREATED
BY],TablePic[[#This Row],[PIC]])</calculatedColumnFormula>
    </tableColumn>
    <tableColumn id="4" xr3:uid="{0655C577-1DE7-A64E-A666-B7C43E2AC971}" name="TOTAL_x000a_(Executor)" dataDxfId="47">
      <calculatedColumnFormula>COUNTIF(Table_test_case[EXECUTED
BY],TablePic[[#This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46" dataDxfId="45" headerRowCellStyle="Heading 2">
  <autoFilter ref="K33:L37" xr:uid="{7A78BE29-BD42-E94C-B75E-07BC3539C64B}"/>
  <tableColumns count="2">
    <tableColumn id="1" xr3:uid="{3FBAF980-B046-1744-A68E-80FA60193677}" name="PRIORITY " dataDxfId="44"/>
    <tableColumn id="2" xr3:uid="{20CF8267-20CB-2447-B0EE-04CA0FFEC084}" name="TOTAL" dataDxfId="43">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42" dataDxfId="41" headerRowCellStyle="Heading 2">
  <autoFilter ref="E33:F35" xr:uid="{12B34AFC-8443-7646-A5FF-38B643D476A1}"/>
  <tableColumns count="2">
    <tableColumn id="1" xr3:uid="{E4B2D535-AD93-2241-822E-9CF430ABB581}" name="TYPE TEST" dataDxfId="40"/>
    <tableColumn id="2" xr3:uid="{B2FCB4DD-51A8-1548-8514-2F1B2803A7E8}" name="TOTAL" dataDxfId="39">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4" totalsRowShown="0" headerRowDxfId="38" dataDxfId="37" headerRowCellStyle="Heading 2">
  <autoFilter ref="B33:C34" xr:uid="{6C7EEE0D-7F76-2040-BCB4-250854C8F0F0}"/>
  <tableColumns count="2">
    <tableColumn id="2" xr3:uid="{715B60B1-67E3-3D45-A8B0-02B0A787B3D7}" name="PAGE" dataDxfId="36"/>
    <tableColumn id="3" xr3:uid="{A956E912-A71F-0145-AD97-1B193CC99877}" name="TOTAL" dataDxfId="35">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10:S37" totalsRowShown="0" headerRowDxfId="34" dataDxfId="32" headerRowBorderDxfId="33" tableBorderDxfId="31" totalsRowBorderDxfId="30" headerRowCellStyle="Heading 3">
  <autoFilter ref="A10:S37" xr:uid="{00000000-000C-0000-FFFF-FFFF00000000}"/>
  <tableColumns count="19">
    <tableColumn id="1" xr3:uid="{00000000-0010-0000-0000-000001000000}" name="NO." dataDxfId="29">
      <calculatedColumnFormula>A10+1</calculatedColumnFormula>
    </tableColumn>
    <tableColumn id="2" xr3:uid="{00000000-0010-0000-0000-000002000000}" name="FUNGTION" dataDxfId="28"/>
    <tableColumn id="3" xr3:uid="{00000000-0010-0000-0000-000003000000}" name="TEST_x000a_CASE_x000a_ID" dataDxfId="27"/>
    <tableColumn id="17" xr3:uid="{00000000-0010-0000-0000-000011000000}" name="TEST TYPE" dataDxfId="26"/>
    <tableColumn id="22" xr3:uid="{00000000-0010-0000-0000-000016000000}" name="STATUS" dataDxfId="25"/>
    <tableColumn id="6" xr3:uid="{00000000-0010-0000-0000-000006000000}" name=" " dataDxfId="24"/>
    <tableColumn id="19" xr3:uid="{00000000-0010-0000-0000-000013000000}" name="DESCRIPTION" dataDxfId="23"/>
    <tableColumn id="18" xr3:uid="{00000000-0010-0000-0000-000012000000}" name="PREREQUISITES" dataDxfId="22"/>
    <tableColumn id="11" xr3:uid="{9AB612CD-71BC-BB42-81FC-2E43B928187C}" name="TEST DATA" dataDxfId="21"/>
    <tableColumn id="7" xr3:uid="{00000000-0010-0000-0000-000007000000}" name="TEST STEPS" dataDxfId="20"/>
    <tableColumn id="8" xr3:uid="{00000000-0010-0000-0000-000008000000}" name="EXPECTED RESULT" dataDxfId="19"/>
    <tableColumn id="9" xr3:uid="{00000000-0010-0000-0000-000009000000}" name="ACTUAL RESULT" dataDxfId="18"/>
    <tableColumn id="16" xr3:uid="{00000000-0010-0000-0000-000010000000}" name="NOTES" dataDxfId="17"/>
    <tableColumn id="5" xr3:uid="{AF37849C-47CF-1D42-9803-BA046E03AA35}" name="PRIORITY" dataDxfId="16"/>
    <tableColumn id="4" xr3:uid="{7D50DCE3-CDE0-D540-AD1E-7BD0F9C19C2B}" name="PIC" dataDxfId="15"/>
    <tableColumn id="12" xr3:uid="{00000000-0010-0000-0000-00000C000000}" name="CREATED_x000a_BY" dataDxfId="14"/>
    <tableColumn id="13" xr3:uid="{00000000-0010-0000-0000-00000D000000}" name="CREATED_x000a_ON" dataDxfId="13"/>
    <tableColumn id="14" xr3:uid="{00000000-0010-0000-0000-00000E000000}" name="EXECUTED_x000a_BY" dataDxfId="12"/>
    <tableColumn id="15" xr3:uid="{00000000-0010-0000-0000-00000F000000}" name="EXECUTED_x000a_ON" dataDxfId="11"/>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Q41"/>
  <sheetViews>
    <sheetView showGridLines="0" topLeftCell="A11" zoomScaleNormal="100" workbookViewId="0">
      <selection activeCell="C34" sqref="C34"/>
    </sheetView>
  </sheetViews>
  <sheetFormatPr defaultColWidth="10.796875" defaultRowHeight="15"/>
  <cols>
    <col min="1" max="1" width="1.19921875" style="3" customWidth="1"/>
    <col min="2" max="2" width="35.796875" style="3" customWidth="1"/>
    <col min="3" max="3" width="12.796875" style="3" customWidth="1"/>
    <col min="4" max="4" width="5.19921875" style="3" customWidth="1"/>
    <col min="5" max="5" width="21.19921875" style="3" customWidth="1"/>
    <col min="6" max="6" width="12.796875" style="3" customWidth="1"/>
    <col min="7" max="7" width="5.19921875" style="3" customWidth="1"/>
    <col min="8" max="8" width="21.19921875" style="3" customWidth="1"/>
    <col min="9" max="9" width="12.796875" style="3" customWidth="1"/>
    <col min="10" max="10" width="5.19921875" style="3" customWidth="1"/>
    <col min="11" max="11" width="21.19921875" style="3" customWidth="1"/>
    <col min="12" max="12" width="12.796875" style="3" customWidth="1"/>
    <col min="13" max="13" width="5.19921875" style="3" customWidth="1"/>
    <col min="14" max="14" width="21.19921875" style="3" customWidth="1"/>
    <col min="15" max="17" width="15" style="3" customWidth="1"/>
    <col min="18" max="18" width="16.5" style="3" bestFit="1" customWidth="1"/>
    <col min="19" max="19" width="22" style="3" bestFit="1" customWidth="1"/>
    <col min="20" max="16384" width="10.796875" style="3"/>
  </cols>
  <sheetData>
    <row r="1" spans="1:16" ht="6" customHeight="1">
      <c r="A1" s="14"/>
      <c r="B1" s="14"/>
      <c r="C1" s="14"/>
      <c r="D1" s="14"/>
      <c r="E1" s="14"/>
      <c r="F1" s="14"/>
      <c r="G1" s="14"/>
      <c r="H1" s="14"/>
      <c r="I1" s="14"/>
      <c r="J1" s="14"/>
      <c r="K1" s="14"/>
      <c r="L1" s="14"/>
      <c r="M1" s="14"/>
      <c r="N1" s="14"/>
      <c r="O1" s="14"/>
      <c r="P1" s="15"/>
    </row>
    <row r="2" spans="1:16">
      <c r="A2" s="14"/>
      <c r="B2" s="14"/>
      <c r="C2" s="14"/>
      <c r="D2" s="14"/>
      <c r="E2" s="14"/>
      <c r="F2" s="14"/>
      <c r="G2" s="14"/>
      <c r="H2" s="14"/>
      <c r="I2" s="14"/>
      <c r="J2" s="14"/>
      <c r="K2" s="14"/>
      <c r="L2" s="14"/>
      <c r="M2" s="14"/>
      <c r="N2" s="14"/>
      <c r="O2" s="14"/>
      <c r="P2" s="15"/>
    </row>
    <row r="3" spans="1:16">
      <c r="A3" s="14"/>
      <c r="B3" s="14"/>
      <c r="C3" s="14"/>
      <c r="D3" s="14"/>
      <c r="E3" s="14"/>
      <c r="F3" s="14"/>
      <c r="G3" s="14"/>
      <c r="H3" s="14"/>
      <c r="I3" s="14"/>
      <c r="J3" s="14"/>
      <c r="K3" s="14"/>
      <c r="L3" s="14"/>
      <c r="M3" s="14"/>
      <c r="N3" s="14"/>
      <c r="O3" s="14"/>
      <c r="P3" s="15"/>
    </row>
    <row r="4" spans="1:16">
      <c r="A4" s="14"/>
      <c r="B4" s="14"/>
      <c r="C4" s="14"/>
      <c r="D4" s="14"/>
      <c r="E4" s="14"/>
      <c r="F4" s="14"/>
      <c r="G4" s="14"/>
      <c r="H4" s="14"/>
      <c r="I4" s="14"/>
      <c r="J4" s="14"/>
      <c r="K4" s="14"/>
      <c r="L4" s="14"/>
      <c r="M4" s="14"/>
      <c r="N4" s="14"/>
      <c r="O4" s="14"/>
      <c r="P4" s="15"/>
    </row>
    <row r="5" spans="1:16">
      <c r="A5" s="14"/>
      <c r="B5" s="14"/>
      <c r="C5" s="14"/>
      <c r="D5" s="14"/>
      <c r="E5" s="14"/>
      <c r="F5" s="14"/>
      <c r="G5" s="14"/>
      <c r="H5" s="14"/>
      <c r="I5" s="14"/>
      <c r="J5" s="14"/>
      <c r="K5" s="14"/>
      <c r="L5" s="14"/>
      <c r="M5" s="14"/>
      <c r="N5" s="14"/>
      <c r="O5" s="14"/>
      <c r="P5" s="15"/>
    </row>
    <row r="6" spans="1:16">
      <c r="A6" s="14"/>
      <c r="B6" s="14"/>
      <c r="C6" s="14"/>
      <c r="D6" s="14"/>
      <c r="E6" s="14"/>
      <c r="F6" s="14"/>
      <c r="G6" s="14"/>
      <c r="H6" s="14"/>
      <c r="I6" s="14"/>
      <c r="J6" s="14"/>
      <c r="K6" s="14"/>
      <c r="L6" s="14"/>
      <c r="M6" s="14"/>
      <c r="N6" s="14"/>
      <c r="O6" s="14"/>
      <c r="P6" s="15"/>
    </row>
    <row r="7" spans="1:16">
      <c r="A7" s="14"/>
      <c r="B7" s="14"/>
      <c r="C7" s="14"/>
      <c r="D7" s="14"/>
      <c r="E7" s="14"/>
      <c r="F7" s="14"/>
      <c r="G7" s="14"/>
      <c r="H7" s="14"/>
      <c r="I7" s="14"/>
      <c r="J7" s="14"/>
      <c r="K7" s="14"/>
      <c r="L7" s="14"/>
      <c r="M7" s="14"/>
      <c r="N7" s="14"/>
      <c r="O7" s="14"/>
      <c r="P7" s="15"/>
    </row>
    <row r="8" spans="1:16">
      <c r="A8" s="14"/>
      <c r="B8" s="14"/>
      <c r="C8" s="14"/>
      <c r="D8" s="14"/>
      <c r="E8" s="14"/>
      <c r="F8" s="14"/>
      <c r="G8" s="14"/>
      <c r="H8" s="14"/>
      <c r="I8" s="14"/>
      <c r="J8" s="14"/>
      <c r="K8" s="14"/>
      <c r="L8" s="14"/>
      <c r="M8" s="14"/>
      <c r="N8" s="14"/>
      <c r="O8" s="14"/>
      <c r="P8" s="15"/>
    </row>
    <row r="9" spans="1:16">
      <c r="A9" s="14"/>
      <c r="B9" s="14"/>
      <c r="C9" s="14"/>
      <c r="D9" s="14"/>
      <c r="E9" s="14"/>
      <c r="F9" s="14"/>
      <c r="G9" s="14"/>
      <c r="H9" s="14"/>
      <c r="I9" s="14"/>
      <c r="J9" s="14"/>
      <c r="K9" s="14"/>
      <c r="L9" s="14"/>
      <c r="M9" s="14"/>
      <c r="N9" s="14"/>
      <c r="O9" s="14"/>
      <c r="P9" s="15"/>
    </row>
    <row r="10" spans="1:16">
      <c r="A10" s="14"/>
      <c r="B10" s="14"/>
      <c r="C10" s="14"/>
      <c r="D10" s="14"/>
      <c r="E10" s="14"/>
      <c r="F10" s="14"/>
      <c r="G10" s="14"/>
      <c r="H10" s="14"/>
      <c r="I10" s="14"/>
      <c r="J10" s="14"/>
      <c r="K10" s="14"/>
      <c r="L10" s="14"/>
      <c r="M10" s="14"/>
      <c r="N10" s="14"/>
      <c r="O10" s="14"/>
      <c r="P10" s="15"/>
    </row>
    <row r="11" spans="1:16">
      <c r="A11" s="14"/>
      <c r="B11" s="14"/>
      <c r="C11" s="14"/>
      <c r="D11" s="14"/>
      <c r="E11" s="14"/>
      <c r="F11" s="14"/>
      <c r="G11" s="14"/>
      <c r="H11" s="14"/>
      <c r="I11" s="14"/>
      <c r="J11" s="14"/>
      <c r="K11" s="14"/>
      <c r="L11" s="14"/>
      <c r="M11" s="14"/>
      <c r="N11" s="14"/>
      <c r="O11" s="14"/>
      <c r="P11" s="15"/>
    </row>
    <row r="12" spans="1:16">
      <c r="A12" s="14"/>
      <c r="B12" s="14"/>
      <c r="C12" s="14"/>
      <c r="D12" s="14"/>
      <c r="E12" s="14"/>
      <c r="F12" s="14"/>
      <c r="G12" s="14"/>
      <c r="H12" s="14"/>
      <c r="I12" s="14"/>
      <c r="J12" s="14"/>
      <c r="K12" s="14"/>
      <c r="L12" s="14"/>
      <c r="M12" s="14"/>
      <c r="N12" s="14"/>
      <c r="O12" s="14"/>
      <c r="P12" s="15"/>
    </row>
    <row r="13" spans="1:16">
      <c r="A13" s="14"/>
      <c r="B13" s="14"/>
      <c r="C13" s="14"/>
      <c r="D13" s="14"/>
      <c r="E13" s="14"/>
      <c r="F13" s="14"/>
      <c r="G13" s="14"/>
      <c r="H13" s="14"/>
      <c r="I13" s="14"/>
      <c r="J13" s="14"/>
      <c r="K13" s="14"/>
      <c r="L13" s="14"/>
      <c r="M13" s="14"/>
      <c r="N13" s="14"/>
      <c r="O13" s="14"/>
      <c r="P13" s="15"/>
    </row>
    <row r="14" spans="1:16">
      <c r="A14" s="14"/>
      <c r="B14" s="14"/>
      <c r="C14" s="14"/>
      <c r="D14" s="14"/>
      <c r="E14" s="14"/>
      <c r="F14" s="14"/>
      <c r="G14" s="14"/>
      <c r="H14" s="14"/>
      <c r="I14" s="14"/>
      <c r="J14" s="14"/>
      <c r="K14" s="14"/>
      <c r="L14" s="14"/>
      <c r="M14" s="14"/>
      <c r="N14" s="14"/>
      <c r="O14" s="14"/>
      <c r="P14" s="15"/>
    </row>
    <row r="15" spans="1:16">
      <c r="A15" s="14"/>
      <c r="B15" s="14"/>
      <c r="C15" s="14"/>
      <c r="D15" s="14"/>
      <c r="E15" s="14"/>
      <c r="F15" s="14"/>
      <c r="G15" s="14"/>
      <c r="H15" s="14"/>
      <c r="I15" s="14"/>
      <c r="J15" s="14"/>
      <c r="K15" s="14"/>
      <c r="L15" s="14"/>
      <c r="M15" s="14"/>
      <c r="N15" s="14"/>
      <c r="O15" s="14"/>
      <c r="P15" s="15"/>
    </row>
    <row r="16" spans="1:16">
      <c r="A16" s="14"/>
      <c r="B16" s="14"/>
      <c r="C16" s="14"/>
      <c r="D16" s="14"/>
      <c r="E16" s="14"/>
      <c r="F16" s="14"/>
      <c r="G16" s="14"/>
      <c r="H16" s="14"/>
      <c r="I16" s="14"/>
      <c r="J16" s="14"/>
      <c r="K16" s="14"/>
      <c r="L16" s="14"/>
      <c r="M16" s="14"/>
      <c r="N16" s="14"/>
      <c r="O16" s="14"/>
      <c r="P16" s="15"/>
    </row>
    <row r="17" spans="1:16">
      <c r="A17" s="14"/>
      <c r="B17" s="14"/>
      <c r="C17" s="14"/>
      <c r="D17" s="14"/>
      <c r="E17" s="14"/>
      <c r="F17" s="14"/>
      <c r="G17" s="14"/>
      <c r="H17" s="14"/>
      <c r="I17" s="14"/>
      <c r="J17" s="14"/>
      <c r="K17" s="14"/>
      <c r="L17" s="14"/>
      <c r="M17" s="14"/>
      <c r="N17" s="14"/>
      <c r="O17" s="14"/>
      <c r="P17" s="15"/>
    </row>
    <row r="18" spans="1:16">
      <c r="A18" s="14"/>
      <c r="B18" s="14"/>
      <c r="C18" s="14"/>
      <c r="D18" s="14"/>
      <c r="E18" s="14"/>
      <c r="F18" s="14"/>
      <c r="G18" s="14"/>
      <c r="H18" s="14"/>
      <c r="I18" s="14"/>
      <c r="J18" s="14"/>
      <c r="K18" s="14"/>
      <c r="L18" s="14"/>
      <c r="M18" s="14"/>
      <c r="N18" s="14"/>
      <c r="O18" s="14"/>
      <c r="P18" s="15"/>
    </row>
    <row r="19" spans="1:16">
      <c r="A19" s="14"/>
      <c r="B19" s="14"/>
      <c r="C19" s="14"/>
      <c r="D19" s="14"/>
      <c r="E19" s="14"/>
      <c r="F19" s="14"/>
      <c r="G19" s="14"/>
      <c r="H19" s="14"/>
      <c r="I19" s="14"/>
      <c r="J19" s="14"/>
      <c r="K19" s="14"/>
      <c r="L19" s="14"/>
      <c r="M19" s="14"/>
      <c r="N19" s="14"/>
      <c r="O19" s="14"/>
      <c r="P19" s="15"/>
    </row>
    <row r="20" spans="1:16">
      <c r="A20" s="14"/>
      <c r="B20" s="14"/>
      <c r="C20" s="14"/>
      <c r="D20" s="14"/>
      <c r="E20" s="14"/>
      <c r="F20" s="14"/>
      <c r="G20" s="14"/>
      <c r="H20" s="14"/>
      <c r="I20" s="14"/>
      <c r="J20" s="14"/>
      <c r="K20" s="14"/>
      <c r="L20" s="14"/>
      <c r="M20" s="14"/>
      <c r="N20" s="14"/>
      <c r="O20" s="14"/>
      <c r="P20" s="15"/>
    </row>
    <row r="21" spans="1:16">
      <c r="A21" s="14"/>
      <c r="B21" s="14"/>
      <c r="C21" s="14"/>
      <c r="D21" s="14"/>
      <c r="E21" s="14"/>
      <c r="F21" s="14"/>
      <c r="G21" s="14"/>
      <c r="H21" s="14"/>
      <c r="I21" s="14"/>
      <c r="J21" s="14"/>
      <c r="K21" s="14"/>
      <c r="L21" s="14"/>
      <c r="M21" s="14"/>
      <c r="N21" s="14"/>
      <c r="O21" s="14"/>
      <c r="P21" s="15"/>
    </row>
    <row r="22" spans="1:16">
      <c r="A22" s="14"/>
      <c r="B22" s="14"/>
      <c r="C22" s="14"/>
      <c r="D22" s="14"/>
      <c r="E22" s="14"/>
      <c r="F22" s="14"/>
      <c r="G22" s="14"/>
      <c r="H22" s="14"/>
      <c r="I22" s="14"/>
      <c r="J22" s="14"/>
      <c r="K22" s="14"/>
      <c r="L22" s="14"/>
      <c r="M22" s="14"/>
      <c r="N22" s="14"/>
      <c r="O22" s="14"/>
      <c r="P22" s="15"/>
    </row>
    <row r="23" spans="1:16">
      <c r="A23" s="14"/>
      <c r="B23" s="14"/>
      <c r="C23" s="14"/>
      <c r="D23" s="14"/>
      <c r="E23" s="14"/>
      <c r="F23" s="14"/>
      <c r="G23" s="14"/>
      <c r="H23" s="14"/>
      <c r="I23" s="14"/>
      <c r="J23" s="14"/>
      <c r="K23" s="14"/>
      <c r="L23" s="14"/>
      <c r="M23" s="14"/>
      <c r="N23" s="14"/>
      <c r="O23" s="14"/>
      <c r="P23" s="15"/>
    </row>
    <row r="24" spans="1:16">
      <c r="A24" s="14"/>
      <c r="B24" s="14"/>
      <c r="C24" s="14"/>
      <c r="D24" s="14"/>
      <c r="E24" s="14"/>
      <c r="F24" s="14"/>
      <c r="G24" s="14"/>
      <c r="H24" s="14"/>
      <c r="I24" s="14"/>
      <c r="J24" s="14"/>
      <c r="K24" s="14"/>
      <c r="L24" s="14"/>
      <c r="M24" s="14"/>
      <c r="N24" s="14"/>
      <c r="O24" s="14"/>
      <c r="P24" s="15"/>
    </row>
    <row r="25" spans="1:16">
      <c r="A25" s="14"/>
      <c r="B25" s="14"/>
      <c r="C25" s="14"/>
      <c r="D25" s="14"/>
      <c r="E25" s="14"/>
      <c r="F25" s="14"/>
      <c r="G25" s="14"/>
      <c r="H25" s="14"/>
      <c r="I25" s="14"/>
      <c r="J25" s="14"/>
      <c r="K25" s="14"/>
      <c r="L25" s="14"/>
      <c r="M25" s="14"/>
      <c r="N25" s="14"/>
      <c r="O25" s="14"/>
      <c r="P25" s="15"/>
    </row>
    <row r="26" spans="1:16">
      <c r="A26" s="14"/>
      <c r="B26" s="14"/>
      <c r="C26" s="14"/>
      <c r="D26" s="14"/>
      <c r="E26" s="14"/>
      <c r="F26" s="14"/>
      <c r="G26" s="14"/>
      <c r="H26" s="14"/>
      <c r="I26" s="14"/>
      <c r="J26" s="14"/>
      <c r="K26" s="14"/>
      <c r="L26" s="14"/>
      <c r="M26" s="14"/>
      <c r="N26" s="14"/>
      <c r="O26" s="14"/>
      <c r="P26" s="15"/>
    </row>
    <row r="27" spans="1:16">
      <c r="A27" s="14"/>
      <c r="B27" s="14"/>
      <c r="C27" s="14"/>
      <c r="D27" s="14"/>
      <c r="E27" s="14"/>
      <c r="F27" s="14"/>
      <c r="G27" s="14"/>
      <c r="H27" s="14"/>
      <c r="I27" s="14"/>
      <c r="J27" s="14"/>
      <c r="K27" s="14"/>
      <c r="L27" s="14"/>
      <c r="M27" s="14"/>
      <c r="N27" s="14"/>
      <c r="O27" s="14"/>
      <c r="P27" s="15"/>
    </row>
    <row r="28" spans="1:16" ht="16.05" customHeight="1">
      <c r="A28" s="14"/>
      <c r="B28" s="14"/>
      <c r="C28" s="14"/>
      <c r="D28" s="14"/>
      <c r="E28" s="14"/>
      <c r="F28" s="14"/>
      <c r="G28" s="14"/>
      <c r="H28" s="14"/>
      <c r="I28" s="14"/>
      <c r="J28" s="14"/>
      <c r="K28" s="14"/>
      <c r="L28" s="14"/>
      <c r="M28" s="14"/>
      <c r="N28" s="14"/>
      <c r="O28" s="14"/>
      <c r="P28" s="15"/>
    </row>
    <row r="29" spans="1:16" ht="16.05" customHeight="1">
      <c r="A29" s="14"/>
      <c r="B29" s="14"/>
      <c r="C29" s="14"/>
      <c r="D29" s="14"/>
      <c r="E29" s="14"/>
      <c r="F29" s="14"/>
      <c r="G29" s="14"/>
      <c r="H29" s="14"/>
      <c r="I29" s="14"/>
      <c r="J29" s="14"/>
      <c r="K29" s="14"/>
      <c r="L29" s="14"/>
      <c r="M29" s="14"/>
      <c r="N29" s="14"/>
      <c r="O29" s="14"/>
      <c r="P29" s="15"/>
    </row>
    <row r="30" spans="1:16" ht="16.05" customHeight="1">
      <c r="A30" s="14"/>
      <c r="B30" s="14"/>
      <c r="C30" s="14"/>
      <c r="D30" s="14"/>
      <c r="E30" s="14"/>
      <c r="F30" s="14"/>
      <c r="G30" s="14"/>
      <c r="H30" s="14"/>
      <c r="I30" s="14"/>
      <c r="J30" s="14"/>
      <c r="K30" s="14"/>
      <c r="L30" s="14"/>
      <c r="M30" s="14"/>
      <c r="N30" s="14"/>
      <c r="O30" s="14"/>
      <c r="P30" s="15"/>
    </row>
    <row r="31" spans="1:16" ht="16.05" customHeight="1">
      <c r="A31" s="14"/>
      <c r="B31" s="14"/>
      <c r="C31" s="14"/>
      <c r="D31" s="14"/>
      <c r="E31" s="14"/>
      <c r="F31" s="14"/>
      <c r="G31" s="14"/>
      <c r="H31" s="14"/>
      <c r="I31" s="14"/>
      <c r="J31" s="14"/>
      <c r="K31" s="14"/>
      <c r="L31" s="14"/>
      <c r="M31" s="14"/>
      <c r="N31" s="14"/>
      <c r="O31" s="14"/>
      <c r="P31" s="15"/>
    </row>
    <row r="32" spans="1:16" ht="7.95" customHeight="1">
      <c r="P32" s="16"/>
    </row>
    <row r="33" spans="2:17" ht="42" customHeight="1" thickBot="1">
      <c r="B33" s="30" t="s">
        <v>33</v>
      </c>
      <c r="C33" s="31" t="s">
        <v>34</v>
      </c>
      <c r="D33" s="32"/>
      <c r="E33" s="30" t="s">
        <v>32</v>
      </c>
      <c r="F33" s="31" t="s">
        <v>34</v>
      </c>
      <c r="G33" s="32"/>
      <c r="H33" s="30" t="s">
        <v>6</v>
      </c>
      <c r="I33" s="31" t="s">
        <v>34</v>
      </c>
      <c r="J33" s="32"/>
      <c r="K33" s="30" t="s">
        <v>27</v>
      </c>
      <c r="L33" s="31" t="s">
        <v>34</v>
      </c>
      <c r="M33" s="32"/>
      <c r="N33" s="30" t="s">
        <v>10</v>
      </c>
      <c r="O33" s="33" t="s">
        <v>37</v>
      </c>
      <c r="P33" s="33" t="s">
        <v>38</v>
      </c>
      <c r="Q33" s="33" t="s">
        <v>39</v>
      </c>
    </row>
    <row r="34" spans="2:17" ht="15.6" thickTop="1">
      <c r="B34" s="28" t="s">
        <v>40</v>
      </c>
      <c r="C34" s="34">
        <f>COUNTIF(Table_test_case[FUNGTION],TablePage[[#This Row],[PAGE]])</f>
        <v>26</v>
      </c>
      <c r="D34" s="28"/>
      <c r="E34" s="28" t="s">
        <v>8</v>
      </c>
      <c r="F34" s="34">
        <f>COUNTIF(Table_test_case[TEST TYPE],TableTestType[[#This Row],[TYPE TEST]])</f>
        <v>14</v>
      </c>
      <c r="G34" s="28"/>
      <c r="H34" s="28" t="s">
        <v>23</v>
      </c>
      <c r="I34" s="34">
        <f>COUNTIF(Table_test_case[STATUS],TableStatus[[#This Row],[STATUS]])</f>
        <v>13</v>
      </c>
      <c r="J34" s="28"/>
      <c r="K34" s="28" t="s">
        <v>28</v>
      </c>
      <c r="L34" s="34">
        <f>COUNTIF(Table_test_case[PRIORITY],TablePriority[[#This Row],[PRIORITY ]])</f>
        <v>0</v>
      </c>
      <c r="M34" s="28"/>
      <c r="N34" s="28" t="s">
        <v>46</v>
      </c>
      <c r="O34" s="34">
        <f>COUNTIF(Table_test_case[PIC],TablePic[[#This Row],[PIC]])</f>
        <v>26</v>
      </c>
      <c r="P34" s="34">
        <f>COUNTIF(Table_test_case[CREATED
BY],TablePic[[#This Row],[PIC]])</f>
        <v>0</v>
      </c>
      <c r="Q34" s="34">
        <f>COUNTIF(Table_test_case[EXECUTED
BY],TablePic[[#This Row],[PIC]])</f>
        <v>0</v>
      </c>
    </row>
    <row r="35" spans="2:17">
      <c r="B35" s="28"/>
      <c r="C35" s="34"/>
      <c r="D35" s="28"/>
      <c r="E35" s="28" t="s">
        <v>11</v>
      </c>
      <c r="F35" s="34">
        <f>COUNTIF(Table_test_case[TEST TYPE],TableTestType[[#This Row],[TYPE TEST]])</f>
        <v>12</v>
      </c>
      <c r="G35" s="28"/>
      <c r="H35" s="28" t="s">
        <v>24</v>
      </c>
      <c r="I35" s="34">
        <f>COUNTIF(Table_test_case[STATUS],TableStatus[[#This Row],[STATUS]])</f>
        <v>1</v>
      </c>
      <c r="J35" s="28"/>
      <c r="K35" s="28" t="s">
        <v>29</v>
      </c>
      <c r="L35" s="34">
        <f>COUNTIF(Table_test_case[PRIORITY],TablePriority[[#This Row],[PRIORITY ]])</f>
        <v>0</v>
      </c>
      <c r="M35" s="28"/>
      <c r="N35" s="28" t="s">
        <v>47</v>
      </c>
      <c r="O35" s="34">
        <f>COUNTIF(Table_test_case[PIC],TablePic[[#This Row],[PIC]])</f>
        <v>0</v>
      </c>
      <c r="P35" s="34">
        <f>COUNTIF(Table_test_case[CREATED
BY],TablePic[[#This Row],[PIC]])</f>
        <v>27</v>
      </c>
      <c r="Q35" s="34">
        <f>COUNTIF(Table_test_case[EXECUTED
BY],TablePic[[#This Row],[PIC]])</f>
        <v>14</v>
      </c>
    </row>
    <row r="36" spans="2:17">
      <c r="B36" s="28"/>
      <c r="C36" s="34"/>
      <c r="D36" s="28"/>
      <c r="E36" s="28"/>
      <c r="F36" s="28"/>
      <c r="G36" s="28"/>
      <c r="H36" s="28" t="s">
        <v>25</v>
      </c>
      <c r="I36" s="34">
        <f>COUNTIF(Table_test_case[STATUS],TableStatus[[#This Row],[STATUS]])</f>
        <v>1</v>
      </c>
      <c r="J36" s="28"/>
      <c r="K36" s="28" t="s">
        <v>30</v>
      </c>
      <c r="L36" s="34">
        <f>COUNTIF(Table_test_case[PRIORITY],TablePriority[[#This Row],[PRIORITY ]])</f>
        <v>0</v>
      </c>
      <c r="M36" s="28"/>
      <c r="N36" s="28" t="s">
        <v>48</v>
      </c>
      <c r="O36" s="34">
        <f>COUNTIF(Table_test_case[PIC],TablePic[[#This Row],[PIC]])</f>
        <v>0</v>
      </c>
      <c r="P36" s="34">
        <f>COUNTIF(Table_test_case[CREATED
BY],TablePic[[#This Row],[PIC]])</f>
        <v>0</v>
      </c>
      <c r="Q36" s="34">
        <f>COUNTIF(Table_test_case[EXECUTED
BY],TablePic[[#This Row],[PIC]])</f>
        <v>0</v>
      </c>
    </row>
    <row r="37" spans="2:17">
      <c r="B37" s="28"/>
      <c r="C37" s="34"/>
      <c r="D37" s="28"/>
      <c r="E37" s="28"/>
      <c r="F37" s="28"/>
      <c r="G37" s="28"/>
      <c r="H37" s="28" t="s">
        <v>20</v>
      </c>
      <c r="I37" s="34">
        <f>COUNTIF(Table_test_case[STATUS],TableStatus[[#This Row],[STATUS]])</f>
        <v>12</v>
      </c>
      <c r="J37" s="28"/>
      <c r="K37" s="28" t="s">
        <v>31</v>
      </c>
      <c r="L37" s="34">
        <f>COUNTIF(Table_test_case[PRIORITY],TablePriority[[#This Row],[PRIORITY ]])</f>
        <v>0</v>
      </c>
      <c r="M37" s="28"/>
      <c r="N37" s="28"/>
      <c r="O37" s="28"/>
      <c r="P37" s="28"/>
    </row>
    <row r="38" spans="2:17">
      <c r="B38" s="28"/>
      <c r="C38" s="34"/>
      <c r="D38" s="28"/>
      <c r="E38" s="28"/>
      <c r="F38" s="28"/>
      <c r="G38" s="28"/>
      <c r="H38" s="28"/>
      <c r="I38" s="29"/>
      <c r="J38" s="28"/>
      <c r="K38" s="28"/>
      <c r="L38" s="28"/>
      <c r="M38" s="28"/>
      <c r="N38" s="28"/>
      <c r="O38" s="28"/>
      <c r="P38" s="28"/>
    </row>
    <row r="39" spans="2:17">
      <c r="B39" s="28"/>
      <c r="C39" s="34"/>
      <c r="D39" s="28"/>
      <c r="E39" s="28"/>
      <c r="F39" s="28"/>
      <c r="G39" s="28"/>
      <c r="H39" s="28"/>
      <c r="I39" s="29"/>
      <c r="J39" s="28"/>
      <c r="K39" s="28"/>
      <c r="L39" s="28"/>
      <c r="M39" s="28"/>
      <c r="N39" s="28"/>
      <c r="O39" s="28"/>
      <c r="P39" s="28"/>
    </row>
    <row r="40" spans="2:17">
      <c r="D40" s="28"/>
      <c r="E40" s="28"/>
      <c r="F40" s="28"/>
      <c r="G40" s="28"/>
      <c r="H40" s="28"/>
      <c r="I40" s="29"/>
      <c r="J40" s="28"/>
      <c r="K40" s="28"/>
      <c r="L40" s="28"/>
      <c r="M40" s="28"/>
      <c r="N40" s="28"/>
      <c r="O40" s="28"/>
      <c r="P40" s="28"/>
    </row>
    <row r="41" spans="2:17">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A7:T44"/>
  <sheetViews>
    <sheetView showGridLines="0" tabSelected="1" zoomScaleNormal="100" workbookViewId="0">
      <pane xSplit="6" ySplit="10" topLeftCell="G36" activePane="bottomRight" state="frozen"/>
      <selection activeCell="C17" sqref="C17:C18"/>
      <selection pane="topRight" activeCell="C17" sqref="C17:C18"/>
      <selection pane="bottomLeft" activeCell="C17" sqref="C17:C18"/>
      <selection pane="bottomRight" activeCell="H28" sqref="H28"/>
    </sheetView>
  </sheetViews>
  <sheetFormatPr defaultColWidth="9" defaultRowHeight="13.2"/>
  <cols>
    <col min="1" max="1" width="4" style="5" customWidth="1"/>
    <col min="2" max="2" width="30.796875" style="5" customWidth="1"/>
    <col min="3" max="3" width="9.796875" style="5" customWidth="1"/>
    <col min="4" max="4" width="9.5" style="5" bestFit="1" customWidth="1"/>
    <col min="5" max="5" width="11" style="5" customWidth="1"/>
    <col min="6" max="6" width="2.19921875" style="19" customWidth="1"/>
    <col min="7" max="12" width="35.69921875" style="5" customWidth="1"/>
    <col min="13" max="13" width="25.796875" style="5" customWidth="1"/>
    <col min="14" max="14" width="16" style="5" customWidth="1"/>
    <col min="15" max="16" width="12.796875" style="5" customWidth="1"/>
    <col min="17" max="17" width="16.796875" style="5" customWidth="1"/>
    <col min="18" max="18" width="12.796875" style="5" customWidth="1"/>
    <col min="19" max="19" width="16.796875" style="5" customWidth="1"/>
    <col min="20" max="20" width="9" style="12"/>
    <col min="21" max="16384" width="9" style="5"/>
  </cols>
  <sheetData>
    <row r="7" spans="1:20">
      <c r="A7" s="27"/>
      <c r="B7" s="6"/>
      <c r="C7" s="25"/>
      <c r="D7" s="26"/>
      <c r="E7" s="6"/>
      <c r="F7" s="6"/>
      <c r="T7" s="5"/>
    </row>
    <row r="8" spans="1:20">
      <c r="A8" s="6"/>
      <c r="B8" s="9"/>
      <c r="F8" s="9"/>
      <c r="G8" s="10"/>
      <c r="H8" s="10"/>
      <c r="I8" s="10"/>
      <c r="J8" s="8"/>
      <c r="K8" s="6"/>
      <c r="L8" s="6"/>
      <c r="M8" s="6"/>
      <c r="N8" s="6"/>
      <c r="O8" s="6"/>
      <c r="P8" s="6"/>
      <c r="Q8" s="6"/>
      <c r="R8" s="6"/>
      <c r="S8" s="6"/>
      <c r="T8" s="5"/>
    </row>
    <row r="9" spans="1:20">
      <c r="A9" s="6"/>
      <c r="B9" s="6"/>
      <c r="F9" s="5"/>
      <c r="G9" s="7"/>
      <c r="H9" s="7"/>
      <c r="I9" s="7"/>
      <c r="J9" s="7"/>
      <c r="K9" s="6"/>
      <c r="L9" s="6"/>
      <c r="M9" s="6"/>
      <c r="N9" s="6"/>
      <c r="O9" s="6"/>
      <c r="P9" s="6"/>
      <c r="Q9" s="6"/>
      <c r="R9" s="6"/>
      <c r="S9" s="6"/>
      <c r="T9" s="5"/>
    </row>
    <row r="10" spans="1:20" ht="39" customHeight="1">
      <c r="A10" s="24" t="s">
        <v>0</v>
      </c>
      <c r="B10" s="24" t="s">
        <v>1</v>
      </c>
      <c r="C10" s="24" t="s">
        <v>21</v>
      </c>
      <c r="D10" s="24" t="s">
        <v>5</v>
      </c>
      <c r="E10" s="24" t="s">
        <v>6</v>
      </c>
      <c r="F10" s="24" t="s">
        <v>35</v>
      </c>
      <c r="G10" s="24" t="s">
        <v>14</v>
      </c>
      <c r="H10" s="24" t="s">
        <v>15</v>
      </c>
      <c r="I10" s="24" t="s">
        <v>36</v>
      </c>
      <c r="J10" s="24" t="s">
        <v>2</v>
      </c>
      <c r="K10" s="24" t="s">
        <v>3</v>
      </c>
      <c r="L10" s="24" t="s">
        <v>4</v>
      </c>
      <c r="M10" s="24" t="s">
        <v>7</v>
      </c>
      <c r="N10" s="24" t="s">
        <v>26</v>
      </c>
      <c r="O10" s="24" t="s">
        <v>10</v>
      </c>
      <c r="P10" s="24" t="s">
        <v>16</v>
      </c>
      <c r="Q10" s="24" t="s">
        <v>17</v>
      </c>
      <c r="R10" s="24" t="s">
        <v>18</v>
      </c>
      <c r="S10" s="24" t="s">
        <v>19</v>
      </c>
      <c r="T10" s="5"/>
    </row>
    <row r="11" spans="1:20" s="11" customFormat="1" ht="198">
      <c r="A11" s="20">
        <v>1</v>
      </c>
      <c r="B11" s="21" t="s">
        <v>40</v>
      </c>
      <c r="C11" s="21" t="s">
        <v>41</v>
      </c>
      <c r="D11" s="21" t="s">
        <v>8</v>
      </c>
      <c r="E11" s="21" t="s">
        <v>23</v>
      </c>
      <c r="F11" s="18"/>
      <c r="G11" s="18" t="s">
        <v>42</v>
      </c>
      <c r="H11" s="18" t="s">
        <v>113</v>
      </c>
      <c r="I11" s="18"/>
      <c r="J11" s="18" t="s">
        <v>43</v>
      </c>
      <c r="K11" s="18" t="s">
        <v>44</v>
      </c>
      <c r="L11" s="18" t="s">
        <v>45</v>
      </c>
      <c r="M11" s="22"/>
      <c r="N11" s="22"/>
      <c r="O11" s="22" t="s">
        <v>46</v>
      </c>
      <c r="P11" s="21" t="s">
        <v>47</v>
      </c>
      <c r="Q11" s="23">
        <v>44459</v>
      </c>
      <c r="R11" s="22" t="s">
        <v>47</v>
      </c>
      <c r="S11" s="23">
        <v>44686.458483796298</v>
      </c>
    </row>
    <row r="12" spans="1:20" s="11" customFormat="1" ht="105.6">
      <c r="A12" s="20">
        <v>2</v>
      </c>
      <c r="B12" s="21" t="s">
        <v>40</v>
      </c>
      <c r="C12" s="21" t="s">
        <v>49</v>
      </c>
      <c r="D12" s="21" t="s">
        <v>8</v>
      </c>
      <c r="E12" s="21" t="s">
        <v>23</v>
      </c>
      <c r="F12" s="18"/>
      <c r="G12" s="18" t="s">
        <v>50</v>
      </c>
      <c r="H12" s="18" t="s">
        <v>41</v>
      </c>
      <c r="I12" s="18" t="s">
        <v>51</v>
      </c>
      <c r="J12" s="18" t="s">
        <v>52</v>
      </c>
      <c r="K12" s="18" t="s">
        <v>53</v>
      </c>
      <c r="L12" s="18" t="s">
        <v>114</v>
      </c>
      <c r="M12" s="22"/>
      <c r="N12" s="22"/>
      <c r="O12" s="22" t="s">
        <v>46</v>
      </c>
      <c r="P12" s="21" t="s">
        <v>47</v>
      </c>
      <c r="Q12" s="23">
        <v>44686.398958333331</v>
      </c>
      <c r="R12" s="22" t="s">
        <v>47</v>
      </c>
      <c r="S12" s="23">
        <v>44686.46875</v>
      </c>
    </row>
    <row r="13" spans="1:20" s="11" customFormat="1" ht="52.8">
      <c r="A13" s="20">
        <v>3</v>
      </c>
      <c r="B13" s="21" t="s">
        <v>40</v>
      </c>
      <c r="C13" s="21" t="s">
        <v>54</v>
      </c>
      <c r="D13" s="21" t="s">
        <v>8</v>
      </c>
      <c r="E13" s="21" t="s">
        <v>23</v>
      </c>
      <c r="F13" s="18"/>
      <c r="G13" s="18" t="s">
        <v>71</v>
      </c>
      <c r="H13" s="18" t="s">
        <v>41</v>
      </c>
      <c r="I13" s="18" t="s">
        <v>67</v>
      </c>
      <c r="J13" s="18" t="s">
        <v>68</v>
      </c>
      <c r="K13" s="18" t="s">
        <v>69</v>
      </c>
      <c r="L13" s="18" t="s">
        <v>115</v>
      </c>
      <c r="M13" s="22"/>
      <c r="N13" s="22"/>
      <c r="O13" s="22" t="s">
        <v>46</v>
      </c>
      <c r="P13" s="21" t="s">
        <v>47</v>
      </c>
      <c r="Q13" s="23">
        <v>44686.418865740743</v>
      </c>
      <c r="R13" s="22" t="s">
        <v>47</v>
      </c>
      <c r="S13" s="23">
        <v>44686.510416666664</v>
      </c>
    </row>
    <row r="14" spans="1:20" ht="79.2">
      <c r="A14" s="20">
        <v>4</v>
      </c>
      <c r="B14" s="21" t="s">
        <v>40</v>
      </c>
      <c r="C14" s="21" t="s">
        <v>58</v>
      </c>
      <c r="D14" s="21" t="s">
        <v>8</v>
      </c>
      <c r="E14" s="21" t="s">
        <v>23</v>
      </c>
      <c r="F14" s="18"/>
      <c r="G14" s="18" t="s">
        <v>70</v>
      </c>
      <c r="H14" s="18" t="s">
        <v>41</v>
      </c>
      <c r="I14" s="18" t="s">
        <v>116</v>
      </c>
      <c r="J14" s="18" t="s">
        <v>72</v>
      </c>
      <c r="K14" s="18" t="s">
        <v>117</v>
      </c>
      <c r="L14" s="18" t="s">
        <v>118</v>
      </c>
      <c r="M14" s="22"/>
      <c r="N14" s="22"/>
      <c r="O14" s="22" t="s">
        <v>46</v>
      </c>
      <c r="P14" s="21" t="s">
        <v>47</v>
      </c>
      <c r="Q14" s="23">
        <v>44686.421805555554</v>
      </c>
      <c r="R14" s="22" t="s">
        <v>47</v>
      </c>
      <c r="S14" s="23">
        <v>44686.579861111109</v>
      </c>
    </row>
    <row r="15" spans="1:20" ht="39.6">
      <c r="A15" s="20">
        <v>5</v>
      </c>
      <c r="B15" s="39" t="s">
        <v>40</v>
      </c>
      <c r="C15" s="39" t="s">
        <v>62</v>
      </c>
      <c r="D15" s="39" t="s">
        <v>11</v>
      </c>
      <c r="E15" s="39" t="s">
        <v>20</v>
      </c>
      <c r="F15" s="40"/>
      <c r="G15" s="40" t="s">
        <v>55</v>
      </c>
      <c r="H15" s="40" t="s">
        <v>120</v>
      </c>
      <c r="I15" s="40"/>
      <c r="J15" s="40" t="s">
        <v>56</v>
      </c>
      <c r="K15" s="40" t="s">
        <v>57</v>
      </c>
      <c r="L15" s="40"/>
      <c r="M15" s="41"/>
      <c r="N15" s="41"/>
      <c r="O15" s="41" t="s">
        <v>46</v>
      </c>
      <c r="P15" s="39" t="s">
        <v>47</v>
      </c>
      <c r="Q15" s="42">
        <v>44686.424340277779</v>
      </c>
      <c r="R15" s="41"/>
      <c r="S15" s="43"/>
    </row>
    <row r="16" spans="1:20" ht="39.6">
      <c r="A16" s="20">
        <v>6</v>
      </c>
      <c r="B16" s="44" t="s">
        <v>40</v>
      </c>
      <c r="C16" s="44" t="s">
        <v>73</v>
      </c>
      <c r="D16" s="44" t="s">
        <v>11</v>
      </c>
      <c r="E16" s="44" t="s">
        <v>20</v>
      </c>
      <c r="F16" s="45"/>
      <c r="G16" s="45" t="s">
        <v>59</v>
      </c>
      <c r="H16" s="45" t="s">
        <v>120</v>
      </c>
      <c r="I16" s="45"/>
      <c r="J16" s="45" t="s">
        <v>60</v>
      </c>
      <c r="K16" s="45" t="s">
        <v>61</v>
      </c>
      <c r="L16" s="45"/>
      <c r="M16" s="46"/>
      <c r="N16" s="46"/>
      <c r="O16" s="46" t="s">
        <v>46</v>
      </c>
      <c r="P16" s="44" t="s">
        <v>47</v>
      </c>
      <c r="Q16" s="47">
        <v>44686.424351851849</v>
      </c>
      <c r="R16" s="46"/>
      <c r="S16" s="48"/>
    </row>
    <row r="17" spans="1:19" ht="52.8">
      <c r="A17" s="20">
        <v>7</v>
      </c>
      <c r="B17" s="39" t="s">
        <v>40</v>
      </c>
      <c r="C17" s="39" t="s">
        <v>74</v>
      </c>
      <c r="D17" s="39" t="s">
        <v>11</v>
      </c>
      <c r="E17" s="39" t="s">
        <v>20</v>
      </c>
      <c r="F17" s="40"/>
      <c r="G17" s="40" t="s">
        <v>63</v>
      </c>
      <c r="H17" s="40" t="s">
        <v>120</v>
      </c>
      <c r="I17" s="40" t="s">
        <v>64</v>
      </c>
      <c r="J17" s="40" t="s">
        <v>65</v>
      </c>
      <c r="K17" s="40" t="s">
        <v>66</v>
      </c>
      <c r="L17" s="40"/>
      <c r="M17" s="41"/>
      <c r="N17" s="41"/>
      <c r="O17" s="41" t="s">
        <v>46</v>
      </c>
      <c r="P17" s="39" t="s">
        <v>47</v>
      </c>
      <c r="Q17" s="42">
        <v>44686.424351851849</v>
      </c>
      <c r="R17" s="41"/>
      <c r="S17" s="43"/>
    </row>
    <row r="18" spans="1:19" ht="39.6">
      <c r="A18" s="20">
        <v>8</v>
      </c>
      <c r="B18" s="21" t="s">
        <v>40</v>
      </c>
      <c r="C18" s="21" t="s">
        <v>75</v>
      </c>
      <c r="D18" s="21" t="s">
        <v>8</v>
      </c>
      <c r="E18" s="21" t="s">
        <v>23</v>
      </c>
      <c r="F18" s="18"/>
      <c r="G18" s="18" t="s">
        <v>76</v>
      </c>
      <c r="H18" s="18" t="s">
        <v>41</v>
      </c>
      <c r="I18" s="18"/>
      <c r="J18" s="18" t="s">
        <v>77</v>
      </c>
      <c r="K18" s="18" t="s">
        <v>78</v>
      </c>
      <c r="L18" s="18"/>
      <c r="M18" s="22"/>
      <c r="N18" s="22"/>
      <c r="O18" s="22" t="s">
        <v>46</v>
      </c>
      <c r="P18" s="21" t="s">
        <v>47</v>
      </c>
      <c r="Q18" s="23">
        <v>44686.429467592592</v>
      </c>
      <c r="R18" s="22" t="s">
        <v>47</v>
      </c>
      <c r="S18" s="23">
        <v>44687.412499999999</v>
      </c>
    </row>
    <row r="19" spans="1:19" ht="39.6">
      <c r="A19" s="20">
        <v>9</v>
      </c>
      <c r="B19" s="21" t="s">
        <v>40</v>
      </c>
      <c r="C19" s="21" t="s">
        <v>79</v>
      </c>
      <c r="D19" s="21" t="s">
        <v>8</v>
      </c>
      <c r="E19" s="21" t="s">
        <v>23</v>
      </c>
      <c r="F19" s="18"/>
      <c r="G19" s="18" t="s">
        <v>109</v>
      </c>
      <c r="H19" s="18" t="s">
        <v>41</v>
      </c>
      <c r="I19" s="18"/>
      <c r="J19" s="18" t="s">
        <v>80</v>
      </c>
      <c r="K19" s="18" t="s">
        <v>110</v>
      </c>
      <c r="L19" s="18" t="s">
        <v>155</v>
      </c>
      <c r="M19" s="22"/>
      <c r="N19" s="22"/>
      <c r="O19" s="22" t="s">
        <v>46</v>
      </c>
      <c r="P19" s="21" t="s">
        <v>47</v>
      </c>
      <c r="Q19" s="23">
        <v>44686.43550925926</v>
      </c>
      <c r="R19" s="22" t="s">
        <v>47</v>
      </c>
      <c r="S19" s="23">
        <v>44687.418749999997</v>
      </c>
    </row>
    <row r="20" spans="1:19" ht="39.6">
      <c r="A20" s="20">
        <v>10</v>
      </c>
      <c r="B20" s="21" t="s">
        <v>40</v>
      </c>
      <c r="C20" s="21" t="s">
        <v>81</v>
      </c>
      <c r="D20" s="21" t="s">
        <v>8</v>
      </c>
      <c r="E20" s="21" t="s">
        <v>23</v>
      </c>
      <c r="F20" s="18"/>
      <c r="G20" s="18" t="s">
        <v>111</v>
      </c>
      <c r="H20" s="18" t="s">
        <v>41</v>
      </c>
      <c r="I20" s="18"/>
      <c r="J20" s="18" t="s">
        <v>82</v>
      </c>
      <c r="K20" s="18" t="s">
        <v>112</v>
      </c>
      <c r="L20" s="18" t="s">
        <v>156</v>
      </c>
      <c r="M20" s="22"/>
      <c r="N20" s="22"/>
      <c r="O20" s="22" t="s">
        <v>46</v>
      </c>
      <c r="P20" s="21" t="s">
        <v>47</v>
      </c>
      <c r="Q20" s="23">
        <v>44686.438263888886</v>
      </c>
      <c r="R20" s="22" t="s">
        <v>47</v>
      </c>
      <c r="S20" s="23">
        <v>44687.425000000003</v>
      </c>
    </row>
    <row r="21" spans="1:19" ht="132">
      <c r="A21" s="20">
        <v>11</v>
      </c>
      <c r="B21" s="21" t="s">
        <v>40</v>
      </c>
      <c r="C21" s="21" t="s">
        <v>83</v>
      </c>
      <c r="D21" s="21" t="s">
        <v>8</v>
      </c>
      <c r="E21" s="21" t="s">
        <v>23</v>
      </c>
      <c r="F21" s="18"/>
      <c r="G21" s="18" t="s">
        <v>84</v>
      </c>
      <c r="H21" s="18" t="s">
        <v>41</v>
      </c>
      <c r="I21" s="18"/>
      <c r="J21" s="18" t="s">
        <v>85</v>
      </c>
      <c r="K21" s="18" t="s">
        <v>86</v>
      </c>
      <c r="L21" s="18" t="s">
        <v>157</v>
      </c>
      <c r="M21" s="22"/>
      <c r="N21" s="22"/>
      <c r="O21" s="22" t="s">
        <v>46</v>
      </c>
      <c r="P21" s="21" t="s">
        <v>47</v>
      </c>
      <c r="Q21" s="23">
        <v>44686.439895833333</v>
      </c>
      <c r="R21" s="22" t="s">
        <v>47</v>
      </c>
      <c r="S21" s="23">
        <v>44687.4375</v>
      </c>
    </row>
    <row r="22" spans="1:19" ht="39.6">
      <c r="A22" s="20">
        <v>12</v>
      </c>
      <c r="B22" s="21" t="s">
        <v>40</v>
      </c>
      <c r="C22" s="21" t="s">
        <v>87</v>
      </c>
      <c r="D22" s="21" t="s">
        <v>8</v>
      </c>
      <c r="E22" s="21" t="s">
        <v>23</v>
      </c>
      <c r="F22" s="18"/>
      <c r="G22" s="18" t="s">
        <v>88</v>
      </c>
      <c r="H22" s="18" t="s">
        <v>41</v>
      </c>
      <c r="I22" s="18"/>
      <c r="J22" s="18"/>
      <c r="K22" s="18" t="s">
        <v>89</v>
      </c>
      <c r="L22" s="18" t="s">
        <v>158</v>
      </c>
      <c r="M22" s="22"/>
      <c r="N22" s="22"/>
      <c r="O22" s="22" t="s">
        <v>46</v>
      </c>
      <c r="P22" s="21" t="s">
        <v>47</v>
      </c>
      <c r="Q22" s="23">
        <v>44686.443958333337</v>
      </c>
      <c r="R22" s="22" t="s">
        <v>47</v>
      </c>
      <c r="S22" s="23">
        <v>44687.440972222219</v>
      </c>
    </row>
    <row r="23" spans="1:19" ht="132">
      <c r="A23" s="20">
        <v>13</v>
      </c>
      <c r="B23" s="21" t="s">
        <v>40</v>
      </c>
      <c r="C23" s="21" t="s">
        <v>90</v>
      </c>
      <c r="D23" s="21" t="s">
        <v>8</v>
      </c>
      <c r="E23" s="21" t="s">
        <v>23</v>
      </c>
      <c r="F23" s="18"/>
      <c r="G23" s="18" t="s">
        <v>91</v>
      </c>
      <c r="H23" s="18" t="s">
        <v>41</v>
      </c>
      <c r="I23" s="18"/>
      <c r="J23" s="18" t="s">
        <v>92</v>
      </c>
      <c r="K23" s="18" t="s">
        <v>93</v>
      </c>
      <c r="L23" s="18" t="s">
        <v>159</v>
      </c>
      <c r="M23" s="22"/>
      <c r="N23" s="22"/>
      <c r="O23" s="22" t="s">
        <v>46</v>
      </c>
      <c r="P23" s="21" t="s">
        <v>47</v>
      </c>
      <c r="Q23" s="23">
        <v>44686.447256944448</v>
      </c>
      <c r="R23" s="22" t="s">
        <v>47</v>
      </c>
      <c r="S23" s="23">
        <v>44687.447222222225</v>
      </c>
    </row>
    <row r="24" spans="1:19" ht="52.8">
      <c r="A24" s="20">
        <v>14</v>
      </c>
      <c r="B24" s="21" t="s">
        <v>40</v>
      </c>
      <c r="C24" s="21" t="s">
        <v>94</v>
      </c>
      <c r="D24" s="21" t="s">
        <v>8</v>
      </c>
      <c r="E24" s="21" t="s">
        <v>23</v>
      </c>
      <c r="F24" s="18"/>
      <c r="G24" s="18" t="s">
        <v>95</v>
      </c>
      <c r="H24" s="18" t="s">
        <v>41</v>
      </c>
      <c r="I24" s="18"/>
      <c r="J24" s="18" t="s">
        <v>96</v>
      </c>
      <c r="K24" s="18" t="s">
        <v>97</v>
      </c>
      <c r="L24" s="18" t="s">
        <v>160</v>
      </c>
      <c r="M24" s="22"/>
      <c r="N24" s="22"/>
      <c r="O24" s="22" t="s">
        <v>46</v>
      </c>
      <c r="P24" s="21" t="s">
        <v>47</v>
      </c>
      <c r="Q24" s="23">
        <v>44686.456608796296</v>
      </c>
      <c r="R24" s="22" t="s">
        <v>47</v>
      </c>
      <c r="S24" s="23">
        <v>44687.457638888889</v>
      </c>
    </row>
    <row r="25" spans="1:19" ht="118.8">
      <c r="A25" s="20">
        <v>15</v>
      </c>
      <c r="B25" s="21" t="s">
        <v>40</v>
      </c>
      <c r="C25" s="21" t="s">
        <v>98</v>
      </c>
      <c r="D25" s="21" t="s">
        <v>8</v>
      </c>
      <c r="E25" s="21" t="s">
        <v>23</v>
      </c>
      <c r="F25" s="18"/>
      <c r="G25" s="18" t="s">
        <v>101</v>
      </c>
      <c r="H25" s="18" t="s">
        <v>49</v>
      </c>
      <c r="I25" s="18"/>
      <c r="J25" s="18" t="s">
        <v>108</v>
      </c>
      <c r="K25" s="18" t="s">
        <v>102</v>
      </c>
      <c r="L25" s="18" t="s">
        <v>119</v>
      </c>
      <c r="M25" s="22"/>
      <c r="N25" s="22"/>
      <c r="O25" s="22" t="s">
        <v>46</v>
      </c>
      <c r="P25" s="21" t="s">
        <v>47</v>
      </c>
      <c r="Q25" s="23">
        <v>44686.460474537038</v>
      </c>
      <c r="R25" s="22" t="s">
        <v>47</v>
      </c>
      <c r="S25" s="23">
        <v>44686.624305555553</v>
      </c>
    </row>
    <row r="26" spans="1:19" ht="158.4">
      <c r="A26" s="20">
        <v>16</v>
      </c>
      <c r="B26" s="21" t="s">
        <v>40</v>
      </c>
      <c r="C26" s="21" t="s">
        <v>100</v>
      </c>
      <c r="D26" s="21" t="s">
        <v>8</v>
      </c>
      <c r="E26" s="21" t="s">
        <v>23</v>
      </c>
      <c r="F26" s="18"/>
      <c r="G26" s="18" t="s">
        <v>103</v>
      </c>
      <c r="H26" s="18" t="s">
        <v>98</v>
      </c>
      <c r="I26" s="18" t="s">
        <v>99</v>
      </c>
      <c r="J26" s="18" t="s">
        <v>104</v>
      </c>
      <c r="K26" s="18" t="s">
        <v>105</v>
      </c>
      <c r="L26" s="18" t="s">
        <v>161</v>
      </c>
      <c r="M26" s="22"/>
      <c r="N26" s="22"/>
      <c r="O26" s="22" t="s">
        <v>46</v>
      </c>
      <c r="P26" s="21" t="s">
        <v>47</v>
      </c>
      <c r="Q26" s="23">
        <v>44686.466550925928</v>
      </c>
      <c r="R26" s="22" t="s">
        <v>47</v>
      </c>
      <c r="S26" s="23">
        <v>44687.467361111114</v>
      </c>
    </row>
    <row r="27" spans="1:19" ht="105.6">
      <c r="A27" s="20">
        <v>17</v>
      </c>
      <c r="B27" s="53" t="s">
        <v>40</v>
      </c>
      <c r="C27" s="53" t="s">
        <v>106</v>
      </c>
      <c r="D27" s="54" t="s">
        <v>11</v>
      </c>
      <c r="E27" s="54" t="s">
        <v>24</v>
      </c>
      <c r="F27" s="55"/>
      <c r="G27" s="59" t="s">
        <v>123</v>
      </c>
      <c r="H27" s="54" t="s">
        <v>120</v>
      </c>
      <c r="I27" s="55" t="s">
        <v>162</v>
      </c>
      <c r="J27" s="59" t="s">
        <v>122</v>
      </c>
      <c r="K27" s="55" t="s">
        <v>124</v>
      </c>
      <c r="L27" s="55" t="s">
        <v>163</v>
      </c>
      <c r="M27" s="56"/>
      <c r="N27" s="56"/>
      <c r="O27" s="56" t="s">
        <v>46</v>
      </c>
      <c r="P27" s="53" t="s">
        <v>47</v>
      </c>
      <c r="Q27" s="57">
        <v>44687.357638888891</v>
      </c>
      <c r="R27" s="56" t="s">
        <v>47</v>
      </c>
      <c r="S27" s="58">
        <v>44687.472222222219</v>
      </c>
    </row>
    <row r="28" spans="1:19" ht="79.2">
      <c r="A28" s="20">
        <v>18</v>
      </c>
      <c r="B28" s="21" t="s">
        <v>40</v>
      </c>
      <c r="C28" s="21" t="s">
        <v>121</v>
      </c>
      <c r="D28" s="51" t="s">
        <v>8</v>
      </c>
      <c r="E28" s="51" t="s">
        <v>20</v>
      </c>
      <c r="F28" s="18"/>
      <c r="G28" s="50" t="s">
        <v>128</v>
      </c>
      <c r="H28" s="21" t="s">
        <v>98</v>
      </c>
      <c r="I28" s="18" t="s">
        <v>107</v>
      </c>
      <c r="J28" s="52" t="s">
        <v>125</v>
      </c>
      <c r="K28" s="18" t="s">
        <v>126</v>
      </c>
      <c r="L28" s="18"/>
      <c r="M28" s="22"/>
      <c r="N28" s="22"/>
      <c r="O28" s="22" t="s">
        <v>46</v>
      </c>
      <c r="P28" s="21" t="s">
        <v>47</v>
      </c>
      <c r="Q28" s="23">
        <v>44687.374305555553</v>
      </c>
      <c r="R28" s="22"/>
      <c r="S28" s="49"/>
    </row>
    <row r="29" spans="1:19" ht="79.2">
      <c r="A29" s="20">
        <v>19</v>
      </c>
      <c r="B29" s="21" t="s">
        <v>40</v>
      </c>
      <c r="C29" s="21" t="s">
        <v>127</v>
      </c>
      <c r="D29" s="51" t="s">
        <v>11</v>
      </c>
      <c r="E29" s="51" t="s">
        <v>20</v>
      </c>
      <c r="F29" s="18"/>
      <c r="G29" s="50" t="s">
        <v>131</v>
      </c>
      <c r="H29" s="21" t="s">
        <v>129</v>
      </c>
      <c r="I29" s="18" t="s">
        <v>130</v>
      </c>
      <c r="J29" s="52" t="s">
        <v>125</v>
      </c>
      <c r="K29" s="18" t="s">
        <v>132</v>
      </c>
      <c r="L29" s="18"/>
      <c r="M29" s="22"/>
      <c r="N29" s="22"/>
      <c r="O29" s="22" t="s">
        <v>46</v>
      </c>
      <c r="P29" s="21" t="s">
        <v>47</v>
      </c>
      <c r="Q29" s="23">
        <v>44687.3749537037</v>
      </c>
      <c r="R29" s="22"/>
      <c r="S29" s="23"/>
    </row>
    <row r="30" spans="1:19" ht="79.2">
      <c r="A30" s="20">
        <v>20</v>
      </c>
      <c r="B30" s="21" t="s">
        <v>40</v>
      </c>
      <c r="C30" s="21" t="s">
        <v>133</v>
      </c>
      <c r="D30" s="51" t="s">
        <v>11</v>
      </c>
      <c r="E30" s="51" t="s">
        <v>20</v>
      </c>
      <c r="F30" s="18"/>
      <c r="G30" s="50" t="s">
        <v>134</v>
      </c>
      <c r="H30" s="21" t="s">
        <v>129</v>
      </c>
      <c r="I30" s="18" t="s">
        <v>135</v>
      </c>
      <c r="J30" s="52" t="s">
        <v>125</v>
      </c>
      <c r="K30" s="18" t="s">
        <v>132</v>
      </c>
      <c r="L30" s="18"/>
      <c r="M30" s="22"/>
      <c r="N30" s="22"/>
      <c r="O30" s="22" t="s">
        <v>46</v>
      </c>
      <c r="P30" s="21" t="s">
        <v>47</v>
      </c>
      <c r="Q30" s="23">
        <v>44687.377222222225</v>
      </c>
      <c r="R30" s="22"/>
      <c r="S30" s="23"/>
    </row>
    <row r="31" spans="1:19" ht="79.2">
      <c r="A31" s="20">
        <v>21</v>
      </c>
      <c r="B31" s="21" t="s">
        <v>40</v>
      </c>
      <c r="C31" s="21" t="s">
        <v>136</v>
      </c>
      <c r="D31" s="51" t="s">
        <v>11</v>
      </c>
      <c r="E31" s="51" t="s">
        <v>20</v>
      </c>
      <c r="F31" s="18"/>
      <c r="G31" s="50" t="s">
        <v>137</v>
      </c>
      <c r="H31" s="21" t="s">
        <v>129</v>
      </c>
      <c r="I31" s="18" t="s">
        <v>138</v>
      </c>
      <c r="J31" s="52" t="s">
        <v>125</v>
      </c>
      <c r="K31" s="18" t="s">
        <v>132</v>
      </c>
      <c r="L31" s="18"/>
      <c r="M31" s="22"/>
      <c r="N31" s="22"/>
      <c r="O31" s="22" t="s">
        <v>46</v>
      </c>
      <c r="P31" s="21" t="s">
        <v>47</v>
      </c>
      <c r="Q31" s="23">
        <v>44687.378842592596</v>
      </c>
      <c r="R31" s="22"/>
      <c r="S31" s="23"/>
    </row>
    <row r="32" spans="1:19" ht="79.2">
      <c r="A32" s="20">
        <v>22</v>
      </c>
      <c r="B32" s="21" t="s">
        <v>40</v>
      </c>
      <c r="C32" s="21" t="s">
        <v>139</v>
      </c>
      <c r="D32" s="51" t="s">
        <v>11</v>
      </c>
      <c r="E32" s="51" t="s">
        <v>20</v>
      </c>
      <c r="F32" s="18"/>
      <c r="G32" s="50" t="s">
        <v>140</v>
      </c>
      <c r="H32" s="21" t="s">
        <v>129</v>
      </c>
      <c r="I32" s="18" t="s">
        <v>141</v>
      </c>
      <c r="J32" s="52" t="s">
        <v>125</v>
      </c>
      <c r="K32" s="18" t="s">
        <v>132</v>
      </c>
      <c r="L32" s="18"/>
      <c r="M32" s="22"/>
      <c r="N32" s="22"/>
      <c r="O32" s="22" t="s">
        <v>46</v>
      </c>
      <c r="P32" s="21" t="s">
        <v>47</v>
      </c>
      <c r="Q32" s="23">
        <v>44687.380636574075</v>
      </c>
      <c r="R32" s="22"/>
      <c r="S32" s="23"/>
    </row>
    <row r="33" spans="1:19" ht="79.2">
      <c r="A33" s="20">
        <v>23</v>
      </c>
      <c r="B33" s="21" t="s">
        <v>40</v>
      </c>
      <c r="C33" s="21" t="s">
        <v>144</v>
      </c>
      <c r="D33" s="51" t="s">
        <v>11</v>
      </c>
      <c r="E33" s="51" t="s">
        <v>20</v>
      </c>
      <c r="F33" s="18"/>
      <c r="G33" s="50" t="s">
        <v>142</v>
      </c>
      <c r="H33" s="21" t="s">
        <v>129</v>
      </c>
      <c r="I33" s="18" t="s">
        <v>143</v>
      </c>
      <c r="J33" s="52" t="s">
        <v>125</v>
      </c>
      <c r="K33" s="18" t="s">
        <v>132</v>
      </c>
      <c r="L33" s="18"/>
      <c r="M33" s="22"/>
      <c r="N33" s="22"/>
      <c r="O33" s="22" t="s">
        <v>46</v>
      </c>
      <c r="P33" s="21" t="s">
        <v>47</v>
      </c>
      <c r="Q33" s="23">
        <v>44687.38244212963</v>
      </c>
      <c r="R33" s="22"/>
      <c r="S33" s="23"/>
    </row>
    <row r="34" spans="1:19" ht="79.2">
      <c r="A34" s="20">
        <v>24</v>
      </c>
      <c r="B34" s="21" t="s">
        <v>40</v>
      </c>
      <c r="C34" s="21" t="s">
        <v>145</v>
      </c>
      <c r="D34" s="51" t="s">
        <v>11</v>
      </c>
      <c r="E34" s="51" t="s">
        <v>20</v>
      </c>
      <c r="F34" s="18"/>
      <c r="G34" s="50" t="s">
        <v>146</v>
      </c>
      <c r="H34" s="21" t="s">
        <v>129</v>
      </c>
      <c r="I34" s="18" t="s">
        <v>147</v>
      </c>
      <c r="J34" s="52" t="s">
        <v>125</v>
      </c>
      <c r="K34" s="18" t="s">
        <v>132</v>
      </c>
      <c r="L34" s="18"/>
      <c r="M34" s="22"/>
      <c r="N34" s="22"/>
      <c r="O34" s="22" t="s">
        <v>46</v>
      </c>
      <c r="P34" s="21" t="s">
        <v>47</v>
      </c>
      <c r="Q34" s="23">
        <v>44687.383055555554</v>
      </c>
      <c r="R34" s="22"/>
      <c r="S34" s="23"/>
    </row>
    <row r="35" spans="1:19" ht="79.2">
      <c r="A35" s="20">
        <v>25</v>
      </c>
      <c r="B35" s="21" t="s">
        <v>40</v>
      </c>
      <c r="C35" s="21" t="s">
        <v>148</v>
      </c>
      <c r="D35" s="51" t="s">
        <v>11</v>
      </c>
      <c r="E35" s="51" t="s">
        <v>20</v>
      </c>
      <c r="F35" s="18"/>
      <c r="G35" s="50" t="s">
        <v>149</v>
      </c>
      <c r="H35" s="21" t="s">
        <v>129</v>
      </c>
      <c r="I35" s="18" t="s">
        <v>150</v>
      </c>
      <c r="J35" s="52" t="s">
        <v>125</v>
      </c>
      <c r="K35" s="18" t="s">
        <v>132</v>
      </c>
      <c r="L35" s="18"/>
      <c r="M35" s="22"/>
      <c r="N35" s="22"/>
      <c r="O35" s="22" t="s">
        <v>46</v>
      </c>
      <c r="P35" s="21" t="s">
        <v>47</v>
      </c>
      <c r="Q35" s="23">
        <v>44687.383842592593</v>
      </c>
      <c r="R35" s="22"/>
      <c r="S35" s="23"/>
    </row>
    <row r="36" spans="1:19" ht="105.6">
      <c r="A36" s="20">
        <v>26</v>
      </c>
      <c r="B36" s="21" t="s">
        <v>40</v>
      </c>
      <c r="C36" s="21" t="s">
        <v>151</v>
      </c>
      <c r="D36" s="51" t="s">
        <v>11</v>
      </c>
      <c r="E36" s="51" t="s">
        <v>20</v>
      </c>
      <c r="F36" s="18"/>
      <c r="G36" s="18" t="s">
        <v>152</v>
      </c>
      <c r="H36" s="18" t="s">
        <v>120</v>
      </c>
      <c r="I36" s="18" t="s">
        <v>153</v>
      </c>
      <c r="J36" s="18" t="s">
        <v>52</v>
      </c>
      <c r="K36" s="18" t="s">
        <v>154</v>
      </c>
      <c r="L36" s="18"/>
      <c r="M36" s="22"/>
      <c r="N36" s="22"/>
      <c r="O36" s="22" t="s">
        <v>46</v>
      </c>
      <c r="P36" s="21" t="s">
        <v>47</v>
      </c>
      <c r="Q36" s="23">
        <v>44687.384918981479</v>
      </c>
      <c r="R36" s="22"/>
      <c r="S36" s="23"/>
    </row>
    <row r="37" spans="1:19">
      <c r="A37" s="20">
        <v>27</v>
      </c>
      <c r="B37" s="21"/>
      <c r="C37" s="21"/>
      <c r="D37" s="51"/>
      <c r="E37" s="51" t="s">
        <v>25</v>
      </c>
      <c r="F37" s="18"/>
      <c r="G37" s="18"/>
      <c r="H37" s="18"/>
      <c r="I37" s="18"/>
      <c r="J37" s="18"/>
      <c r="K37" s="18"/>
      <c r="L37" s="18"/>
      <c r="M37" s="22"/>
      <c r="N37" s="22"/>
      <c r="O37" s="22"/>
      <c r="P37" s="21" t="s">
        <v>47</v>
      </c>
      <c r="Q37" s="23">
        <v>44687.558692129627</v>
      </c>
      <c r="R37" s="22"/>
      <c r="S37" s="23"/>
    </row>
    <row r="39" spans="1:19" ht="13.8">
      <c r="B39" s="17" t="s">
        <v>9</v>
      </c>
      <c r="C39" s="17" t="s">
        <v>22</v>
      </c>
      <c r="E39" s="13"/>
    </row>
    <row r="40" spans="1:19" ht="14.4">
      <c r="B40" s="35" t="str" cm="1">
        <f t="array" ref="B40:C43">Dashboard!H34:I37</f>
        <v>Passed</v>
      </c>
      <c r="C40" s="36">
        <v>13</v>
      </c>
      <c r="D40" s="13"/>
      <c r="E40" s="13"/>
    </row>
    <row r="41" spans="1:19" ht="13.8">
      <c r="B41" s="35" t="str">
        <v>Failed</v>
      </c>
      <c r="C41" s="36">
        <v>1</v>
      </c>
    </row>
    <row r="42" spans="1:19" ht="13.8">
      <c r="B42" s="35" t="str">
        <v>Not Executed</v>
      </c>
      <c r="C42" s="36">
        <v>1</v>
      </c>
    </row>
    <row r="43" spans="1:19" ht="13.8">
      <c r="B43" s="35" t="str">
        <v>Not Ready</v>
      </c>
      <c r="C43" s="36">
        <v>12</v>
      </c>
    </row>
    <row r="44" spans="1:19" ht="13.8">
      <c r="B44" s="37" t="s">
        <v>34</v>
      </c>
      <c r="C44" s="38">
        <f>SUM(C40:C43)</f>
        <v>27</v>
      </c>
    </row>
  </sheetData>
  <dataValidations count="5">
    <dataValidation type="list" allowBlank="1" showInputMessage="1" showErrorMessage="1" sqref="R11:R37 O11:P37" xr:uid="{797079AC-8B14-9B4A-BC48-F63FF901A58C}">
      <formula1>picList</formula1>
    </dataValidation>
    <dataValidation type="list" allowBlank="1" showInputMessage="1" showErrorMessage="1" sqref="D11:D37" xr:uid="{00000000-0002-0000-0000-000001000000}">
      <formula1>typeTestList</formula1>
    </dataValidation>
    <dataValidation type="list" allowBlank="1" showInputMessage="1" showErrorMessage="1" sqref="B11:B37" xr:uid="{00000000-0002-0000-0000-000000000000}">
      <formula1>pageList</formula1>
    </dataValidation>
    <dataValidation type="list" allowBlank="1" showInputMessage="1" showErrorMessage="1" sqref="E11:E37" xr:uid="{AB3C7D48-6248-BF44-BC67-9601FA3FEF51}">
      <formula1>statusList</formula1>
    </dataValidation>
    <dataValidation type="list" allowBlank="1" showInputMessage="1" showErrorMessage="1" sqref="N11:N37" xr:uid="{B8EBAFA2-42E0-C149-B2F2-1BAED273F9DD}">
      <formula1>priorityList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114300</xdr:colOff>
                    <xdr:row>7</xdr:row>
                    <xdr:rowOff>38100</xdr:rowOff>
                  </from>
                  <to>
                    <xdr:col>1</xdr:col>
                    <xdr:colOff>1272540</xdr:colOff>
                    <xdr:row>8</xdr:row>
                    <xdr:rowOff>137160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1508760</xdr:colOff>
                    <xdr:row>7</xdr:row>
                    <xdr:rowOff>38100</xdr:rowOff>
                  </from>
                  <to>
                    <xdr:col>2</xdr:col>
                    <xdr:colOff>624840</xdr:colOff>
                    <xdr:row>8</xdr:row>
                    <xdr:rowOff>137160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31" id="{9D6610C4-829E-40B1-9539-3F8D2270CBC0}">
            <xm:f>$E11=Dashboard!$H$35</xm:f>
            <x14:dxf>
              <font>
                <color rgb="FF9C0006"/>
              </font>
              <fill>
                <patternFill>
                  <bgColor rgb="FFFFC7CE"/>
                </patternFill>
              </fill>
            </x14:dxf>
          </x14:cfRule>
          <xm:sqref>A11:S12 B13:Q14 B18:Q26 B28:Q37</xm:sqref>
        </x14:conditionalFormatting>
        <x14:conditionalFormatting xmlns:xm="http://schemas.microsoft.com/office/excel/2006/main">
          <x14:cfRule type="expression" priority="39" id="{9D6610C4-829E-40B1-9539-3F8D2270CBC0}">
            <xm:f>$E18=Dashboard!$H$35</xm:f>
            <x14:dxf>
              <font>
                <color rgb="FF9C0006"/>
              </font>
              <fill>
                <patternFill>
                  <bgColor rgb="FFFFC7CE"/>
                </patternFill>
              </fill>
            </x14:dxf>
          </x14:cfRule>
          <xm:sqref>R21:S26</xm:sqref>
        </x14:conditionalFormatting>
        <x14:conditionalFormatting xmlns:xm="http://schemas.microsoft.com/office/excel/2006/main">
          <x14:cfRule type="expression" priority="47" id="{9D6610C4-829E-40B1-9539-3F8D2270CBC0}">
            <xm:f>#REF!=Dashboard!$H$35</xm:f>
            <x14:dxf>
              <font>
                <color rgb="FF9C0006"/>
              </font>
              <fill>
                <patternFill>
                  <bgColor rgb="FFFFC7CE"/>
                </patternFill>
              </fill>
            </x14:dxf>
          </x14:cfRule>
          <xm:sqref>R18:S20</xm:sqref>
        </x14:conditionalFormatting>
        <x14:conditionalFormatting xmlns:xm="http://schemas.microsoft.com/office/excel/2006/main">
          <x14:cfRule type="expression" priority="49" id="{9D6610C4-829E-40B1-9539-3F8D2270CBC0}">
            <xm:f>#REF!=Dashboard!$H$35</xm:f>
            <x14:dxf>
              <font>
                <color rgb="FF9C0006"/>
              </font>
              <fill>
                <patternFill>
                  <bgColor rgb="FFFFC7CE"/>
                </patternFill>
              </fill>
            </x14:dxf>
          </x14:cfRule>
          <xm:sqref>R13:S14</xm:sqref>
        </x14:conditionalFormatting>
        <x14:conditionalFormatting xmlns:xm="http://schemas.microsoft.com/office/excel/2006/main">
          <x14:cfRule type="expression" priority="13" id="{3212B476-31E0-4DB5-A6E9-A801DE3E9651}">
            <xm:f>#REF!=Dashboard!$H$35</xm:f>
            <x14:dxf>
              <font>
                <color rgb="FF9C0006"/>
              </font>
              <fill>
                <patternFill>
                  <bgColor rgb="FFFFC7CE"/>
                </patternFill>
              </fill>
            </x14:dxf>
          </x14:cfRule>
          <xm:sqref>S28:S37</xm:sqref>
        </x14:conditionalFormatting>
        <x14:conditionalFormatting xmlns:xm="http://schemas.microsoft.com/office/excel/2006/main">
          <x14:cfRule type="expression" priority="6" id="{8D26D6D0-050A-4F79-BABD-84F115A5F904}">
            <xm:f>$E15=Dashboard!$H$35</xm:f>
            <x14:dxf>
              <font>
                <color rgb="FF9C0006"/>
              </font>
              <fill>
                <patternFill>
                  <bgColor rgb="FFFFC7CE"/>
                </patternFill>
              </fill>
            </x14:dxf>
          </x14:cfRule>
          <xm:sqref>B15:Q17</xm:sqref>
        </x14:conditionalFormatting>
        <x14:conditionalFormatting xmlns:xm="http://schemas.microsoft.com/office/excel/2006/main">
          <x14:cfRule type="expression" priority="3" id="{808BECC3-541B-4DD0-998D-95A1A7925402}">
            <xm:f>$E17=Dashboard!$H$35</xm:f>
            <x14:dxf>
              <font>
                <color rgb="FF9C0006"/>
              </font>
              <fill>
                <patternFill>
                  <bgColor rgb="FFFFC7CE"/>
                </patternFill>
              </fill>
            </x14:dxf>
          </x14:cfRule>
          <xm:sqref>R15:S15</xm:sqref>
        </x14:conditionalFormatting>
        <x14:conditionalFormatting xmlns:xm="http://schemas.microsoft.com/office/excel/2006/main">
          <x14:cfRule type="expression" priority="4" id="{D9B5503E-F2D4-4136-909F-6730CF64B6CA}">
            <xm:f>#REF!=Dashboard!$H$35</xm:f>
            <x14:dxf>
              <font>
                <color rgb="FF9C0006"/>
              </font>
              <fill>
                <patternFill>
                  <bgColor rgb="FFFFC7CE"/>
                </patternFill>
              </fill>
            </x14:dxf>
          </x14:cfRule>
          <xm:sqref>R16:S16</xm:sqref>
        </x14:conditionalFormatting>
        <x14:conditionalFormatting xmlns:xm="http://schemas.microsoft.com/office/excel/2006/main">
          <x14:cfRule type="expression" priority="5" id="{531FA71E-8B60-4BFF-A67E-FFE0DAD9B143}">
            <xm:f>#REF!=Dashboard!$H$35</xm:f>
            <x14:dxf>
              <font>
                <color rgb="FF9C0006"/>
              </font>
              <fill>
                <patternFill>
                  <bgColor rgb="FFFFC7CE"/>
                </patternFill>
              </fill>
            </x14:dxf>
          </x14:cfRule>
          <xm:sqref>R17:S17</xm:sqref>
        </x14:conditionalFormatting>
        <x14:conditionalFormatting xmlns:xm="http://schemas.microsoft.com/office/excel/2006/main">
          <x14:cfRule type="expression" priority="2" id="{67D706E9-6BF2-4356-883A-8D1B31C3DE7C}">
            <xm:f>$E27=Dashboard!$H$35</xm:f>
            <x14:dxf>
              <font>
                <color rgb="FF9C0006"/>
              </font>
              <fill>
                <patternFill>
                  <bgColor rgb="FFFFC7CE"/>
                </patternFill>
              </fill>
            </x14:dxf>
          </x14:cfRule>
          <xm:sqref>B27:Q27</xm:sqref>
        </x14:conditionalFormatting>
        <x14:conditionalFormatting xmlns:xm="http://schemas.microsoft.com/office/excel/2006/main">
          <x14:cfRule type="expression" priority="1" id="{524CC037-B615-4425-84DE-6E16B37C06A1}">
            <xm:f>#REF!=Dashboard!$H$35</xm:f>
            <x14:dxf>
              <font>
                <color rgb="FF9C0006"/>
              </font>
              <fill>
                <patternFill>
                  <bgColor rgb="FFFFC7CE"/>
                </patternFill>
              </fill>
            </x14:dxf>
          </x14:cfRule>
          <xm:sqref>S27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796875" defaultRowHeight="15.6"/>
  <cols>
    <col min="1" max="1" width="57.796875" customWidth="1"/>
  </cols>
  <sheetData>
    <row r="1" spans="1:1">
      <c r="A1" s="2" t="s">
        <v>12</v>
      </c>
    </row>
    <row r="2" spans="1:1" ht="265.2">
      <c r="A2" s="1" t="s">
        <v>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Positive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XA User</cp:lastModifiedBy>
  <cp:revision/>
  <dcterms:created xsi:type="dcterms:W3CDTF">2021-09-10T01:15:16Z</dcterms:created>
  <dcterms:modified xsi:type="dcterms:W3CDTF">2022-05-06T10:00:28Z</dcterms:modified>
  <cp:category/>
  <cp:contentStatus/>
</cp:coreProperties>
</file>