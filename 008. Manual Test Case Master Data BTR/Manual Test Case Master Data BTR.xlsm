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D:\Batch288\xa-batch-288-qa-teknologi\003. Yasin\008. Manual Test Case Master Data BTR\"/>
    </mc:Choice>
  </mc:AlternateContent>
  <xr:revisionPtr revIDLastSave="0" documentId="13_ncr:1_{B8E4DFBD-206C-4177-9A8C-A0F7D6A9F30C}"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Case'!$A$10:$S$10</definedName>
    <definedName name="cityList">#REF!</definedName>
    <definedName name="list_test_case">'Test Case'!$A$11:$S$26</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17" i="9" l="1"/>
  <c r="C39" i="12"/>
  <c r="C40" i="12"/>
  <c r="C36" i="12"/>
  <c r="C37" i="12"/>
  <c r="C38" i="12"/>
  <c r="Q34" i="12"/>
  <c r="Q35" i="12"/>
  <c r="Q36" i="12"/>
  <c r="P34" i="12"/>
  <c r="P35" i="12"/>
  <c r="P36" i="12"/>
  <c r="C34" i="12" l="1"/>
  <c r="C35" i="12"/>
  <c r="O34" i="12"/>
  <c r="O35" i="12"/>
  <c r="O36" i="12"/>
  <c r="L34" i="12"/>
  <c r="L35" i="12"/>
  <c r="L36" i="12"/>
  <c r="L37" i="12"/>
  <c r="I35" i="12"/>
  <c r="I36" i="12"/>
  <c r="I37" i="12"/>
  <c r="I34" i="12"/>
  <c r="F34" i="12"/>
  <c r="F35" i="12"/>
  <c r="B28" i="9" l="1" a="1"/>
  <c r="B28" i="9" l="1"/>
  <c r="C31" i="9"/>
  <c r="B31" i="9"/>
  <c r="C30" i="9"/>
  <c r="B30" i="9"/>
  <c r="C29" i="9"/>
  <c r="B29" i="9"/>
  <c r="C28" i="9"/>
  <c r="C32"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<sst xmlns="http://schemas.openxmlformats.org/spreadsheetml/2006/main" count="221" uniqueCount="115">
  <si>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</si>
  <si>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</si>
  <si>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</si>
  <si>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</si>
  <si>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</si>
  <si>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</si>
  <si>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</si>
  <si>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</si>
  <si>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</si>
  <si>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</si>
  <si>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</si>
  <si>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</si>
  <si>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</si>
  <si>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</si>
  <si>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</si>
  <si>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TC130001</t>
  </si>
  <si>
    <t>TC140001</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</si>
  <si>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</si>
  <si>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</si>
  <si>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</si>
  <si>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</si>
  <si>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</si>
  <si>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</si>
  <si>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</si>
  <si>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</si>
  <si>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</si>
  <si>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</si>
  <si>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</si>
  <si>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</si>
  <si>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</si>
  <si>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</si>
  <si>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</si>
  <si>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</si>
  <si>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</si>
  <si>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</si>
  <si>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</si>
  <si>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</si>
  <si>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</si>
  <si>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</si>
  <si>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TEST DATA</t>
  </si>
  <si>
    <t>TOTAL
(Programmer)</t>
  </si>
  <si>
    <t>TOTAL
(Created)</t>
  </si>
  <si>
    <t>TOTAL
(Executor)</t>
  </si>
  <si>
    <t>1.1. Authorization</t>
  </si>
  <si>
    <t>1.2. Filter</t>
  </si>
  <si>
    <t>1.3. Desain Kolom</t>
  </si>
  <si>
    <t>1.4. Validasi</t>
  </si>
  <si>
    <t>1.5. Pagination</t>
  </si>
  <si>
    <t>1.6. Entity Kolom</t>
  </si>
  <si>
    <t>1.7 Action</t>
  </si>
  <si>
    <t>TC110001</t>
  </si>
  <si>
    <t>User yang dapat mengakses menu ini adalah yang memiliki role :
1. Admin RCPS (F/E)
2. Admin IT</t>
  </si>
  <si>
    <t>1. User dengan role Admin RCPS (F/E) atau Admin IT</t>
  </si>
  <si>
    <t>1. Buka Brower
2. Masuk ke URL Master Data BTR
3. Lakukan proses Login sebagai Admin RCPS (F/E) atau Admin IT</t>
  </si>
  <si>
    <t>Masuk ke halaman Master Data BTR dengan akun yang sesuai dengan proses Login, dan terdapat text berupa "Admin RCPS (F/E)" atau "Admin IT"</t>
  </si>
  <si>
    <t>Yasin</t>
  </si>
  <si>
    <t>Beny</t>
  </si>
  <si>
    <t>Wahyu</t>
  </si>
  <si>
    <t>TC120001</t>
  </si>
  <si>
    <t>1. Akun Admin RCPS (F/E) atau Admin IT</t>
  </si>
  <si>
    <t xml:space="preserve">Keyword pencarian 
1. "21" </t>
  </si>
  <si>
    <t>1. Menekan field pencarian
2. Memasukkan text pencarian sesuai dengan Test Data</t>
  </si>
  <si>
    <t>Menampilkan hasil pencarian dengan data yang mengandung karakter-karakter sesuai dengan karakter yang diinput pada field pencarian</t>
  </si>
  <si>
    <t>Menampilkan tabel data dengan text rata kiri untuk semua kolom, kecuali untuk kolom Currency ditampilkan dengan text rata kanan</t>
  </si>
  <si>
    <t>TC130002</t>
  </si>
  <si>
    <t>1. Menekan tombol Sort untuk semua kolom</t>
  </si>
  <si>
    <t>Dapat melakukan Sort untuk semua kolom dengan urutan asc/desc kecuali kolom action</t>
  </si>
  <si>
    <t>Kolom "BTR Value" menampilkan nilai dengan tipe data decimal dimana tanda koma digunakan sebagai Thousand Separator dan tanda titik
digunakan sebagai Decimal Separator</t>
  </si>
  <si>
    <t>Pada halaman Master Data BTR, kolom "BTR Value"  memiliki nilai dengan tipe data decimal dimana tanda koma digunakan sebagai Thousand Separator dan tanda titik
digunakan sebagai Decimal Separator</t>
  </si>
  <si>
    <t>Pada halaman Master Data BTR, desain tabel menampilkan data dengan kolom yang dapat dilakukan sorting secara asc/desc, kecuali untuk kolom Action</t>
  </si>
  <si>
    <t>Pada halaman Master Data BTR, desain tabel menampilkan data dengan text rata kiri untuk semua kolom, kecuali untuk kolom Currency ditampilkan dengan text rata kanan</t>
  </si>
  <si>
    <t>Pada halaman Master Data BTR, user dapat melakukan pencarian dengan cara Partial Match</t>
  </si>
  <si>
    <t>TC140002</t>
  </si>
  <si>
    <t>Pada halaman Master Data BTR, hanya BTR yang memiliki status “Approved” dan nilai BTR Year yang sama dengan Tahun Event yg akan
dijadikan perhitungan dalam proses transaksi</t>
  </si>
  <si>
    <t>1. Melakukan perhitungan transaksi</t>
  </si>
  <si>
    <t>Hanya BTR yang memiliki status “Approved” dan nilai BTR Year yang sama dengan Tahun Event yg akan dijadikan perhitungan dalam proses transaksi</t>
  </si>
  <si>
    <t>TC140003</t>
  </si>
  <si>
    <t>Pada halaman Master Data BTR, nilai BTR Year yang divalidasi memiliki format penulisan berupa angka dengan memiliki maksimal 4 karakter</t>
  </si>
  <si>
    <t>Menampilkan nilai BTR Year yang memiliki format penulisan berupa angka dengan maksimal 4 karakter</t>
  </si>
  <si>
    <t>TC140004</t>
  </si>
  <si>
    <t xml:space="preserve">Data pertama :
1. BTR RU : "RU II" 
2. BTR Year : "2021"
3. BTR Value (USD): "34,567.23"
Data kedua : 
1. BTR RU : "RU III" 
2. BTR Year : "2021"
3. BTR Value (USD): "53,527.83" </t>
  </si>
  <si>
    <t>Pada halaman Master Data BTR, ketika user melakukan proses input data baru, tidak boleh terdapat data ganda di tahun yg sama. Jika user melakukan input dengan nilai BTR Year yang sama, maka layar menampilkan validasi berupa “BTR Year for year xxxx already exist”</t>
  </si>
  <si>
    <t>Menampilkan validasi berupa “BTR Year for year 2021 already exist”</t>
  </si>
  <si>
    <t>TC140005</t>
  </si>
  <si>
    <t>Pada halaman Master Data BTR, ketika melakukan proses input data, semua field adalah mandatory</t>
  </si>
  <si>
    <t>1. Menekan tombol "Add BTR"
2. Menginputkan Data Pertama sesuai dengan Test Data
3. Klik tombol "Simpan"
4. Menekan tombol "Add BTR"
5. Menginputkan Data Kedua sesuai dengan Test Data
6. Klik tombol "Simpan"</t>
  </si>
  <si>
    <t>1. BTR RU : "RU II" 
2. BTR Year : "2021"
3. BTR Value (USD): "34,567.23"</t>
  </si>
  <si>
    <t>1. Menekan tombol "Add BTR"</t>
  </si>
  <si>
    <t>1. Menekan tombol "Add BTR"
2. Menginputkan Data Pertama sesuai dengan Test Data
3. Klik tombol "Simpan"</t>
  </si>
  <si>
    <t>Berhasil menyimpan data baru yang diinputkan</t>
  </si>
  <si>
    <t>TC140006</t>
  </si>
  <si>
    <t>1. BTR RU : "" 
2. BTR Year : "2022"
3. BTR Value (USD): "34,567.23"</t>
  </si>
  <si>
    <t>Menampilkan text alert berupa “Field is required” dibawah field BTR RU</t>
  </si>
  <si>
    <t>TC140007</t>
  </si>
  <si>
    <t>1. BTR RU : "RU III" 
2. BTR Year : ""
3. BTR Value (USD): "34,567.23"</t>
  </si>
  <si>
    <t>1. Menekan tombol "Add BTR"
2. Menginputkan Data sesuai dengan Test Data
3. Klik tombol "Simpan"</t>
  </si>
  <si>
    <t>Menampilkan text alert berupa “Field is required” dibawah field BTR Year</t>
  </si>
  <si>
    <t>TC140008</t>
  </si>
  <si>
    <t>Pada halaman Master Data BTR, ketika melakukan proses input data, apabila field BTR Year tidak diisi namun sudah menekan tombol Simpan, maka layar menampilkan text alert berupa “Field is required” dibawah field BTR Year</t>
  </si>
  <si>
    <t>Pada halaman Master Data BTR, ketika melakukan proses input data, apabila field BTR RU tidak diisi namun sudah menekan tombol Simpan, maka layar menampilkan text alert berupa “Field is required” dibawah field BTR RU</t>
  </si>
  <si>
    <t>Pada halaman Master Data BTR, ketika melakukan proses input data, apabila field BTR Value tidak diisi namun sudah menekan tombol Simpan, maka layar menampilkan text alert berupa “Field is required” dibawah field BTR Value</t>
  </si>
  <si>
    <t>1. BTR RU : "RU III" 
2. BTR Year : "2020"
3. BTR Value (USD): ""</t>
  </si>
  <si>
    <t>Menampilkan text alert berupa “Field is required” dibawah field BTR Value</t>
  </si>
  <si>
    <t>TC140009</t>
  </si>
  <si>
    <t>Pada halaman Master Data BTR, ketika melakukan proses input data, CheckBox isActive secara default dipilih saat form “Add New RU” terbuka</t>
  </si>
  <si>
    <t>CheckBox isActive secara default dipilih atau dicentang</t>
  </si>
  <si>
    <t>TC140010</t>
  </si>
  <si>
    <t>Pada halaman Master Data BTR, ketika melakukan proses input data, apabila status isActive dipilih/dicentang maka status yang muncul di kolom adalah “Yes”</t>
  </si>
  <si>
    <t>1. BTR RU : "RU III" 
2. BTR Year : "2020"
3. BTR Value (USD): "34,567.23"</t>
  </si>
  <si>
    <t>TC140011</t>
  </si>
  <si>
    <t>Pada halaman Master Data BTR, ketika melakukan proses input data, apabila status isActive tidak dipilih atau tidak dicentang maka status yang muncul di kolom adalah “No”</t>
  </si>
  <si>
    <t>Status yang ditampilkan pada kolom isActive adalah “Yes”</t>
  </si>
  <si>
    <t>Status yang ditampilkan pada kolom isActive adalah “No”</t>
  </si>
  <si>
    <t>TC140012</t>
  </si>
  <si>
    <t>Pada halaman Master Data BTR, BTR yg memiliki status Approved tidak boleh diedit maupun di 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</si>
</sst>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dd\-mmm\-yyyy\ hh\:mm"/>
    <numFmt numFmtId="166" formatCode="dd\ mmm\ yy"/>
  </numFmts>
  <fonts count="20">
    <font>
      <sz val="12"/>
      <color theme="1"/>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sz val="10"/>
      <color theme="1"/>
      <name val="Arial"/>
      <family val="2"/>
    </font>
    <font>
      <sz val="10"/>
      <color theme="1"/>
      <name val="Calibri"/>
      <family val="2"/>
      <scheme val="minor"/>
    </font>
    <font>
      <sz val="12"/>
      <color theme="8" tint="0.79998168889431442"/>
      <name val="Arial"/>
      <family val="2"/>
    </font>
    <font>
      <b/>
      <sz val="15"/>
      <color theme="3"/>
      <name val="ArialMT"/>
      <family val="2"/>
    </font>
    <font>
      <b/>
      <sz val="11"/>
      <color theme="0"/>
      <name val="ArialMT"/>
      <family val="2"/>
    </font>
    <font>
      <sz val="10"/>
      <color theme="1"/>
      <name val="ArialMT"/>
      <family val="2"/>
    </font>
    <font>
      <sz val="11"/>
      <color rgb="FF000000"/>
      <name val="Arial"/>
      <family val="2"/>
    </font>
    <font>
      <sz val="11"/>
      <color theme="1"/>
      <name val="Arial"/>
      <family val="2"/>
    </font>
    <font>
      <sz val="11"/>
      <color rgb="FF375623"/>
      <name val="ArialMT"/>
    </font>
    <font>
      <sz val="11"/>
      <color rgb="FF003300"/>
      <name val="Arial"/>
      <family val="2"/>
    </font>
    <font>
      <b/>
      <sz val="11"/>
      <color theme="0"/>
      <name val="Arial"/>
      <family val="2"/>
    </font>
  </fonts>
  <fills count="4">
    <fill>
      <patternFill patternType="none"/>
    </fill>
    <fill>
      <patternFill patternType="gray125"/>
    </fill>
    <fill>
      <patternFill patternType="solid">
        <fgColor theme="6" tint="0.79998168889431442"/>
        <bgColor indexed="64"/>
      </patternFill>
    </fill>
    <fill>
      <patternFill patternType="solid">
        <fgColor theme="8"/>
        <bgColor theme="8"/>
      </patternFill>
    </fill>
  </fills>
  <borders count="6">
    <border>
      <left/>
      <right/>
      <top/>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
      <left/>
      <right/>
      <top/>
      <bottom style="thick">
        <color theme="4"/>
      </bottom>
      <diagonal/>
    </border>
    <border>
      <left/>
      <right/>
      <top style="thin">
        <color indexed="64"/>
      </top>
      <bottom style="thin">
        <color theme="8" tint="0.39997558519241921"/>
      </bottom>
      <diagonal/>
    </border>
  </borders>
  <cellStyleXfs count="4">
    <xf numFmtId="0" fontId="0" fillId="0" borderId="0"/>
    <xf numFmtId="0" fontId="3" fillId="0" borderId="1" applyNumberFormat="0" applyFill="0" applyAlignment="0" applyProtection="0"/>
    <xf numFmtId="0" fontId="4" fillId="0" borderId="2" applyNumberFormat="0" applyFill="0" applyAlignment="0" applyProtection="0"/>
    <xf numFmtId="0" fontId="12" fillId="0" borderId="4" applyNumberFormat="0" applyFill="0" applyAlignment="0" applyProtection="0"/>
  </cellStyleXfs>
  <cellXfs count="48">
    <xf numFmtId="0" fontId="0" fillId="0" borderId="0" xfId="0"/>
    <xf numFmtId="0" fontId="0" fillId="0" borderId="0" xfId="0" applyAlignment="1">
      <alignment wrapText="1"/>
    </xf>
    <xf numFmtId="0" fontId="0" fillId="0" borderId="0" xfId="0" applyAlignment="1">
      <alignment horizontal="center"/>
    </xf>
    <xf numFmtId="0" fontId="5" fillId="0" borderId="0" xfId="0" applyFont="1"/>
    <xf numFmtId="0" fontId="5" fillId="0" borderId="0" xfId="0" applyNumberFormat="1" applyFont="1"/>
    <xf numFmtId="0" fontId="7" fillId="0" borderId="0" xfId="0" applyFont="1"/>
    <xf numFmtId="0" fontId="8" fillId="0" borderId="0" xfId="0" applyFont="1" applyAlignment="1">
      <alignment vertical="top"/>
    </xf>
    <xf numFmtId="0" fontId="8" fillId="0" borderId="0" xfId="0" applyFont="1" applyAlignment="1">
      <alignment vertical="top" wrapText="1"/>
    </xf>
    <xf numFmtId="14" fontId="8" fillId="0" borderId="0" xfId="0" applyNumberFormat="1" applyFont="1" applyAlignment="1">
      <alignment vertical="top" wrapText="1"/>
    </xf>
    <xf numFmtId="0" fontId="8" fillId="0" borderId="0" xfId="0" applyFont="1" applyAlignment="1">
      <alignment horizontal="center" vertical="top" wrapText="1"/>
    </xf>
    <xf numFmtId="14" fontId="7" fillId="0" borderId="0" xfId="0" applyNumberFormat="1" applyFont="1" applyAlignment="1">
      <alignment horizontal="left" vertical="center"/>
    </xf>
    <xf numFmtId="0" fontId="7" fillId="0" borderId="0" xfId="0" applyFont="1" applyAlignment="1">
      <alignment horizontal="left" vertical="top"/>
    </xf>
    <xf numFmtId="0" fontId="9" fillId="0" borderId="0" xfId="0" applyFont="1"/>
    <xf numFmtId="0" fontId="10" fillId="0" borderId="0" xfId="0" applyFont="1"/>
    <xf numFmtId="0" fontId="11" fillId="2" borderId="0" xfId="0" applyFont="1" applyFill="1"/>
    <xf numFmtId="0" fontId="11" fillId="0" borderId="0" xfId="0" applyFont="1" applyFill="1"/>
    <xf numFmtId="0" fontId="5" fillId="0" borderId="0" xfId="0" applyFont="1" applyFill="1"/>
    <xf numFmtId="0" fontId="13" fillId="3" borderId="5" xfId="0" applyFont="1" applyFill="1" applyBorder="1" applyAlignment="1">
      <alignment horizontal="center" vertical="center" wrapText="1"/>
    </xf>
    <xf numFmtId="0" fontId="6" fillId="0" borderId="0" xfId="0" applyFont="1" applyFill="1" applyBorder="1" applyAlignment="1">
      <alignment horizontal="left" vertical="top" wrapText="1"/>
    </xf>
    <xf numFmtId="0" fontId="7" fillId="0" borderId="0" xfId="0" applyFont="1" applyFill="1"/>
    <xf numFmtId="0" fontId="6" fillId="0" borderId="0" xfId="0" applyFont="1" applyFill="1" applyBorder="1" applyAlignment="1">
      <alignment horizontal="center" vertical="top"/>
    </xf>
    <xf numFmtId="0" fontId="6" fillId="0" borderId="0" xfId="0" applyFont="1" applyFill="1" applyBorder="1" applyAlignment="1">
      <alignment horizontal="left" vertical="top"/>
    </xf>
    <xf numFmtId="164" fontId="6" fillId="0" borderId="0" xfId="0" applyNumberFormat="1" applyFont="1" applyFill="1" applyBorder="1" applyAlignment="1">
      <alignment horizontal="left" vertical="top"/>
    </xf>
    <xf numFmtId="165" fontId="6" fillId="0" borderId="0" xfId="0" applyNumberFormat="1" applyFont="1" applyFill="1" applyBorder="1" applyAlignment="1">
      <alignment horizontal="left" vertical="top"/>
    </xf>
    <xf numFmtId="0" fontId="14" fillId="0" borderId="0" xfId="0" applyFont="1" applyAlignment="1">
      <alignment horizontal="center" vertical="center" wrapText="1"/>
    </xf>
    <xf numFmtId="0" fontId="8" fillId="0" borderId="0" xfId="2" applyFont="1" applyFill="1" applyBorder="1" applyAlignment="1">
      <alignment horizontal="left" vertical="top"/>
    </xf>
    <xf numFmtId="166" fontId="8" fillId="0" borderId="0" xfId="2" applyNumberFormat="1" applyFont="1" applyFill="1" applyBorder="1" applyAlignment="1">
      <alignment horizontal="left" vertical="top"/>
    </xf>
    <xf numFmtId="0" fontId="8" fillId="0" borderId="0" xfId="3" applyFont="1" applyFill="1" applyBorder="1" applyAlignment="1">
      <alignment horizontal="left" vertical="top"/>
    </xf>
    <xf numFmtId="0" fontId="16" fillId="0" borderId="0" xfId="0" applyFont="1"/>
    <xf numFmtId="0" fontId="16" fillId="0" borderId="0" xfId="0" applyNumberFormat="1" applyFont="1"/>
    <xf numFmtId="0" fontId="19" fillId="0" borderId="1" xfId="1" applyFont="1" applyAlignment="1">
      <alignment horizontal="center" vertical="center"/>
    </xf>
    <xf numFmtId="0" fontId="19" fillId="0" borderId="1" xfId="1" applyFont="1" applyFill="1" applyAlignment="1">
      <alignment horizontal="center" vertical="center"/>
    </xf>
    <xf numFmtId="0" fontId="16" fillId="0" borderId="0" xfId="0" applyFont="1" applyAlignment="1">
      <alignment horizontal="center" vertical="center"/>
    </xf>
    <xf numFmtId="0" fontId="19" fillId="0" borderId="1" xfId="1" applyFont="1" applyFill="1" applyBorder="1" applyAlignment="1">
      <alignment horizontal="center" vertical="center" wrapText="1"/>
    </xf>
    <xf numFmtId="0" fontId="16" fillId="0" borderId="0" xfId="0" applyFont="1" applyAlignment="1">
      <alignment horizontal="center"/>
    </xf>
    <xf numFmtId="0" fontId="16" fillId="0" borderId="3" xfId="0" applyFont="1" applyBorder="1"/>
    <xf numFmtId="0" fontId="16" fillId="0" borderId="3" xfId="0" applyFont="1" applyBorder="1" applyAlignment="1">
      <alignment horizontal="center"/>
    </xf>
    <xf numFmtId="0" fontId="15" fillId="0" borderId="3" xfId="0" applyFont="1" applyBorder="1"/>
    <xf numFmtId="0" fontId="15" fillId="0" borderId="3" xfId="0" applyFont="1" applyBorder="1" applyAlignment="1">
      <alignment horizontal="center"/>
    </xf>
    <xf numFmtId="0" fontId="16" fillId="0" borderId="0" xfId="0" applyNumberFormat="1" applyFont="1" applyAlignment="1">
      <alignment horizontal="center"/>
    </xf>
    <xf numFmtId="0" fontId="6" fillId="0" borderId="0" xfId="0" applyFont="1" applyFill="1" applyAlignment="1">
      <alignment horizontal="center" vertical="top"/>
    </xf>
    <xf numFmtId="0" fontId="6" fillId="0" borderId="0" xfId="0" applyFont="1" applyFill="1" applyAlignment="1">
      <alignment horizontal="left" vertical="top"/>
    </xf>
    <xf numFmtId="0" fontId="6" fillId="0" borderId="0" xfId="0" applyFont="1" applyFill="1"/>
    <xf numFmtId="0" fontId="6" fillId="0" borderId="0" xfId="0" applyFont="1" applyFill="1" applyAlignment="1">
      <alignment horizontal="left" vertical="top" wrapText="1"/>
    </xf>
    <xf numFmtId="164" fontId="6" fillId="0" borderId="0" xfId="0" applyNumberFormat="1" applyFont="1" applyFill="1" applyAlignment="1">
      <alignment horizontal="left" vertical="top"/>
    </xf>
    <xf numFmtId="165" fontId="6" fillId="0" borderId="0" xfId="0" applyNumberFormat="1" applyFont="1" applyFill="1" applyAlignment="1">
      <alignment horizontal="left" vertical="top"/>
    </xf>
    <xf numFmtId="0" fontId="6" fillId="0" borderId="0" xfId="0" applyFont="1" applyFill="1" applyAlignment="1">
      <alignment vertical="top" wrapText="1"/>
    </xf>
    <xf numFmtId="0" fontId="6" fillId="0" borderId="0" xfId="0" applyFont="1" applyFill="1" applyAlignment="1">
      <alignment vertical="top"/>
    </xf>
  </cellXfs>
  <cellStyles count="4">
    <cellStyle name="Heading 1" xfId="3" builtinId="16"/>
    <cellStyle name="Heading 2" xfId="1" builtinId="17"/>
    <cellStyle name="Heading 3" xfId="2" builtinId="18"/>
    <cellStyle name="Normal" xfId="0" builtinId="0"/>
  </cellStyles>
  <dxfs count="48">
    <dxf>
      <font>
        <color rgb="FF9C0006"/>
      </font>
      <fill>
        <patternFill>
          <bgColor rgb="FFFFC7CE"/>
        </patternFill>
      </fill>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border outline="0">
        <bottom style="thick">
          <color theme="4" tint="0.499984740745262"/>
        </bottom>
      </border>
    </dxf>
    <dxf>
      <font>
        <b/>
        <i val="0"/>
        <strike val="0"/>
        <condense val="0"/>
        <extend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DF4C26"/>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16</c:v>
                </c:pt>
                <c:pt idx="1">
                  <c:v>0</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0</c:v>
                </c:pt>
                <c:pt idx="1">
                  <c:v>0</c:v>
                </c:pt>
                <c:pt idx="2">
                  <c:v>0</c:v>
                </c:pt>
                <c:pt idx="3">
                  <c:v>16</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Dashboard!$B$34:$B$40</c:f>
              <c:strCache>
                <c:ptCount val="7"/>
                <c:pt idx="0">
                  <c:v>1.1. Authorization</c:v>
                </c:pt>
                <c:pt idx="1">
                  <c:v>1.2. Filter</c:v>
                </c:pt>
                <c:pt idx="2">
                  <c:v>1.3. Desain Kolom</c:v>
                </c:pt>
                <c:pt idx="3">
                  <c:v>1.4. Validasi</c:v>
                </c:pt>
                <c:pt idx="4">
                  <c:v>1.5. Pagination</c:v>
                </c:pt>
                <c:pt idx="5">
                  <c:v>1.6. Entity Kolom</c:v>
                </c:pt>
                <c:pt idx="6">
                  <c:v>1.7 Action</c:v>
                </c:pt>
              </c:strCache>
            </c:strRef>
          </c:cat>
          <c:val>
            <c:numRef>
              <c:f>Dashboard!$C$34:$C$40</c:f>
              <c:numCache>
                <c:formatCode>General</c:formatCode>
                <c:ptCount val="7"/>
                <c:pt idx="0">
                  <c:v>1</c:v>
                </c:pt>
                <c:pt idx="1">
                  <c:v>1</c:v>
                </c:pt>
                <c:pt idx="2">
                  <c:v>2</c:v>
                </c:pt>
                <c:pt idx="3">
                  <c:v>12</c:v>
                </c:pt>
                <c:pt idx="4">
                  <c:v>0</c:v>
                </c:pt>
                <c:pt idx="5">
                  <c:v>0</c:v>
                </c:pt>
                <c:pt idx="6">
                  <c:v>0</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0</c:v>
                </c:pt>
                <c:pt idx="3">
                  <c:v>1</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12856</xdr:colOff>
      <xdr:row>0</xdr:row>
      <xdr:rowOff>59691</xdr:rowOff>
    </xdr:from>
    <xdr:to>
      <xdr:col>10</xdr:col>
      <xdr:colOff>317500</xdr:colOff>
      <xdr:row>30</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50801</xdr:colOff>
      <xdr:row>0</xdr:row>
      <xdr:rowOff>57151</xdr:rowOff>
    </xdr:from>
    <xdr:to>
      <xdr:col>6</xdr:col>
      <xdr:colOff>342900</xdr:colOff>
      <xdr:row>30</xdr:row>
      <xdr:rowOff>190500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1272540</xdr:colOff>
          <xdr:row>8</xdr:row>
          <xdr:rowOff>137160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1508760</xdr:colOff>
          <xdr:row>7</xdr:row>
          <xdr:rowOff>38100</xdr:rowOff>
        </xdr:from>
        <xdr:to>
          <xdr:col>2</xdr:col>
          <xdr:colOff>624840</xdr:colOff>
          <xdr:row>8</xdr:row>
          <xdr:rowOff>137160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0</xdr:colOff>
      <xdr:row>0</xdr:row>
      <xdr:rowOff>0</xdr:rowOff>
    </xdr:from>
    <xdr:to>
      <xdr:col>6</xdr:col>
      <xdr:colOff>444501</xdr:colOff>
      <xdr:row>7</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0" y="0"/>
          <a:ext cx="5572761" cy="1173480"/>
          <a:chOff x="0" y="0"/>
          <a:chExt cx="5575301" cy="1130300"/>
        </a:xfrm>
      </xdr:grpSpPr>
      <xdr:sp macro="" textlink="">
        <xdr:nvSpPr>
          <xdr:cNvPr id="18" name="Rectangle 17">
            <a:extLst>
              <a:ext uri="{FF2B5EF4-FFF2-40B4-BE49-F238E27FC236}">
                <a16:creationId xmlns:a16="http://schemas.microsoft.com/office/drawing/2014/main" id="{00000000-0008-0000-0100-000012000000}"/>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100-000013000000}"/>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Web</a:t>
            </a:r>
            <a:r>
              <a:rPr lang="en-US" sz="1100" baseline="0">
                <a:solidFill>
                  <a:schemeClr val="tx1">
                    <a:lumMod val="50000"/>
                    <a:lumOff val="50000"/>
                  </a:schemeClr>
                </a:solidFill>
                <a:latin typeface="Arial Rounded MT Bold" panose="020F0704030504030204" pitchFamily="34" charset="77"/>
              </a:rPr>
              <a:t> API Reqres</a:t>
            </a:r>
            <a:endParaRPr lang="en-US" sz="1100">
              <a:solidFill>
                <a:schemeClr val="tx1">
                  <a:lumMod val="50000"/>
                  <a:lumOff val="50000"/>
                </a:schemeClr>
              </a:solidFill>
              <a:latin typeface="Arial Rounded MT Bold" panose="020F0704030504030204" pitchFamily="34" charset="77"/>
            </a:endParaRPr>
          </a:p>
        </xdr:txBody>
      </xdr:sp>
      <xdr:sp macro="" textlink="">
        <xdr:nvSpPr>
          <xdr:cNvPr id="21" name="Rectangle 20">
            <a:extLst>
              <a:ext uri="{FF2B5EF4-FFF2-40B4-BE49-F238E27FC236}">
                <a16:creationId xmlns:a16="http://schemas.microsoft.com/office/drawing/2014/main" id="{00000000-0008-0000-0100-000015000000}"/>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22" name="Rectangle 21">
            <a:extLst>
              <a:ext uri="{FF2B5EF4-FFF2-40B4-BE49-F238E27FC236}">
                <a16:creationId xmlns:a16="http://schemas.microsoft.com/office/drawing/2014/main" id="{00000000-0008-0000-0100-000016000000}"/>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20 April 2022</a:t>
            </a:r>
          </a:p>
        </xdr:txBody>
      </xdr:sp>
      <xdr:sp macro="" textlink="">
        <xdr:nvSpPr>
          <xdr:cNvPr id="23" name="Rectangle 22">
            <a:extLst>
              <a:ext uri="{FF2B5EF4-FFF2-40B4-BE49-F238E27FC236}">
                <a16:creationId xmlns:a16="http://schemas.microsoft.com/office/drawing/2014/main" id="{00000000-0008-0000-0100-000017000000}"/>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24" name="Rectangle 23">
            <a:extLst>
              <a:ext uri="{FF2B5EF4-FFF2-40B4-BE49-F238E27FC236}">
                <a16:creationId xmlns:a16="http://schemas.microsoft.com/office/drawing/2014/main" id="{00000000-0008-0000-0100-000018000000}"/>
              </a:ext>
            </a:extLst>
          </xdr:cNvPr>
          <xdr:cNvSpPr/>
        </xdr:nvSpPr>
        <xdr:spPr>
          <a:xfrm>
            <a:off x="281940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www.reqres.in</a:t>
            </a:r>
          </a:p>
        </xdr:txBody>
      </xdr:sp>
      <xdr:sp macro="" textlink="">
        <xdr:nvSpPr>
          <xdr:cNvPr id="25" name="Rectangle 24">
            <a:extLst>
              <a:ext uri="{FF2B5EF4-FFF2-40B4-BE49-F238E27FC236}">
                <a16:creationId xmlns:a16="http://schemas.microsoft.com/office/drawing/2014/main" id="{00000000-0008-0000-0100-000019000000}"/>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26" name="Rectangle 25">
            <a:extLst>
              <a:ext uri="{FF2B5EF4-FFF2-40B4-BE49-F238E27FC236}">
                <a16:creationId xmlns:a16="http://schemas.microsoft.com/office/drawing/2014/main" id="{00000000-0008-0000-0100-00001A000000}"/>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20 April 2022</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7" dataDxfId="46" headerRowCellStyle="Heading 2">
  <autoFilter ref="H33:I37" xr:uid="{39B49D68-9E8A-D34A-B9C6-E6ABF7ECF4E2}"/>
  <tableColumns count="2">
    <tableColumn id="1" xr3:uid="{567DBF3E-6AAB-F44B-A620-2B81C9A6B114}" name="STATUS" dataDxfId="45"/>
    <tableColumn id="2" xr3:uid="{00650F91-5404-F04C-9013-56844C846874}" name="TOTAL" dataDxfId="44">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Q36" totalsRowShown="0" headerRowDxfId="43" dataDxfId="41" headerRowBorderDxfId="42" headerRowCellStyle="Heading 2">
  <autoFilter ref="N33:Q36" xr:uid="{E7F708E7-6029-1341-8251-DF3DDDFF7B00}"/>
  <tableColumns count="4">
    <tableColumn id="1" xr3:uid="{440FA0DB-848F-9F48-9EDE-A92BB70EB242}" name="PIC" dataDxfId="40"/>
    <tableColumn id="2" xr3:uid="{BCFB4232-A96D-B74B-ADE9-74DE4F804D8D}" name="TOTAL_x000a_(Programmer)" dataDxfId="39">
      <calculatedColumnFormula>COUNTIF(Table_test_case[PIC],TablePic[[#This Row],[PIC]])</calculatedColumnFormula>
    </tableColumn>
    <tableColumn id="3" xr3:uid="{D6ACB6D1-1B68-FB43-B671-B4F0F6AF5E43}" name="TOTAL_x000a_(Created)" dataDxfId="38">
      <calculatedColumnFormula>COUNTIF(Table_test_case[CREATED
BY],TablePic[[#This Row],[PIC]])</calculatedColumnFormula>
    </tableColumn>
    <tableColumn id="4" xr3:uid="{0655C577-1DE7-A64E-A666-B7C43E2AC971}" name="TOTAL_x000a_(Executor)" dataDxfId="37">
      <calculatedColumnFormula>COUNTIF(Table_test_case[EXECUTED
BY],TablePic[[#This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4" dataDxfId="3" headerRowCellStyle="Heading 2">
  <autoFilter ref="K33:L37" xr:uid="{7A78BE29-BD42-E94C-B75E-07BC3539C64B}"/>
  <tableColumns count="2">
    <tableColumn id="1" xr3:uid="{3FBAF980-B046-1744-A68E-80FA60193677}" name="PRIORITY " dataDxfId="2"/>
    <tableColumn id="2" xr3:uid="{20CF8267-20CB-2447-B0EE-04CA0FFEC084}" name="TOTAL" dataDxfId="1">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6" dataDxfId="35" headerRowCellStyle="Heading 2">
  <autoFilter ref="E33:F35" xr:uid="{12B34AFC-8443-7646-A5FF-38B643D476A1}"/>
  <tableColumns count="2">
    <tableColumn id="1" xr3:uid="{E4B2D535-AD93-2241-822E-9CF430ABB581}" name="TYPE TEST" dataDxfId="34"/>
    <tableColumn id="2" xr3:uid="{B2FCB4DD-51A8-1548-8514-2F1B2803A7E8}" name="TOTAL" dataDxfId="33">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40" totalsRowShown="0" headerRowDxfId="32" dataDxfId="31" headerRowCellStyle="Heading 2">
  <autoFilter ref="B33:C40" xr:uid="{6C7EEE0D-7F76-2040-BCB4-250854C8F0F0}"/>
  <tableColumns count="2">
    <tableColumn id="2" xr3:uid="{715B60B1-67E3-3D45-A8B0-02B0A787B3D7}" name="PAGE" dataDxfId="30"/>
    <tableColumn id="3" xr3:uid="{A956E912-A71F-0145-AD97-1B193CC99877}" name="TOTAL" dataDxfId="29">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10:S26" totalsRowShown="0" headerRowDxfId="28" dataDxfId="26" headerRowBorderDxfId="27" tableBorderDxfId="25" totalsRowBorderDxfId="24" headerRowCellStyle="Heading 3">
  <autoFilter ref="A10:S26" xr:uid="{00000000-000C-0000-FFFF-FFFF00000000}"/>
  <tableColumns count="19">
    <tableColumn id="1" xr3:uid="{00000000-0010-0000-0000-000001000000}" name="NO." dataDxfId="23">
      <calculatedColumnFormula>A10+1</calculatedColumnFormula>
    </tableColumn>
    <tableColumn id="2" xr3:uid="{00000000-0010-0000-0000-000002000000}" name="FUNGTION" dataDxfId="22"/>
    <tableColumn id="3" xr3:uid="{00000000-0010-0000-0000-000003000000}" name="TEST_x000a_CASE_x000a_ID" dataDxfId="21"/>
    <tableColumn id="17" xr3:uid="{00000000-0010-0000-0000-000011000000}" name="TEST TYPE" dataDxfId="20"/>
    <tableColumn id="22" xr3:uid="{00000000-0010-0000-0000-000016000000}" name="STATUS" dataDxfId="19"/>
    <tableColumn id="6" xr3:uid="{00000000-0010-0000-0000-000006000000}" name=" " dataDxfId="18"/>
    <tableColumn id="19" xr3:uid="{00000000-0010-0000-0000-000013000000}" name="DESCRIPTION" dataDxfId="17"/>
    <tableColumn id="18" xr3:uid="{00000000-0010-0000-0000-000012000000}" name="PREREQUISITES" dataDxfId="16"/>
    <tableColumn id="11" xr3:uid="{9AB612CD-71BC-BB42-81FC-2E43B928187C}" name="TEST DATA" dataDxfId="15"/>
    <tableColumn id="7" xr3:uid="{00000000-0010-0000-0000-000007000000}" name="TEST STEPS" dataDxfId="14"/>
    <tableColumn id="8" xr3:uid="{00000000-0010-0000-0000-000008000000}" name="EXPECTED RESULT" dataDxfId="13"/>
    <tableColumn id="9" xr3:uid="{00000000-0010-0000-0000-000009000000}" name="ACTUAL RESULT" dataDxfId="12"/>
    <tableColumn id="16" xr3:uid="{00000000-0010-0000-0000-000010000000}" name="NOTES" dataDxfId="11"/>
    <tableColumn id="5" xr3:uid="{AF37849C-47CF-1D42-9803-BA046E03AA35}" name="PRIORITY" dataDxfId="10"/>
    <tableColumn id="4" xr3:uid="{7D50DCE3-CDE0-D540-AD1E-7BD0F9C19C2B}" name="PIC" dataDxfId="9"/>
    <tableColumn id="12" xr3:uid="{00000000-0010-0000-0000-00000C000000}" name="CREATED_x000a_BY" dataDxfId="8"/>
    <tableColumn id="13" xr3:uid="{00000000-0010-0000-0000-00000D000000}" name="CREATED_x000a_ON" dataDxfId="7"/>
    <tableColumn id="14" xr3:uid="{00000000-0010-0000-0000-00000E000000}" name="EXECUTED_x000a_BY" dataDxfId="6"/>
    <tableColumn id="15" xr3:uid="{00000000-0010-0000-0000-00000F000000}" name="EXECUTED_x000a_ON" dataDxfId="5"/>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Q41"/>
  <sheetViews>
    <sheetView showGridLines="0" topLeftCell="F16" zoomScaleNormal="100" workbookViewId="0">
      <selection activeCell="P38" sqref="P38"/>
    </sheetView>
  </sheetViews>
  <sheetFormatPr defaultColWidth="10.796875" defaultRowHeight="15"/>
  <cols>
    <col min="1" max="1" width="1.19921875" style="3" customWidth="1"/>
    <col min="2" max="2" width="35.796875" style="3"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7" width="15" style="3" customWidth="1"/>
    <col min="18" max="18" width="16.5" style="3" bestFit="1" customWidth="1"/>
    <col min="19" max="19" width="22" style="3" bestFit="1" customWidth="1"/>
    <col min="20" max="16384" width="10.796875" style="3"/>
  </cols>
  <sheetData>
    <row r="1" spans="1:16" ht="6" customHeight="1">
      <c r="A1" s="14"/>
      <c r="B1" s="14"/>
      <c r="C1" s="14"/>
      <c r="D1" s="14"/>
      <c r="E1" s="14"/>
      <c r="F1" s="14"/>
      <c r="G1" s="14"/>
      <c r="H1" s="14"/>
      <c r="I1" s="14"/>
      <c r="J1" s="14"/>
      <c r="K1" s="14"/>
      <c r="L1" s="14"/>
      <c r="M1" s="14"/>
      <c r="N1" s="14"/>
      <c r="O1" s="14"/>
      <c r="P1" s="15"/>
    </row>
    <row r="2" spans="1:16">
      <c r="A2" s="14"/>
      <c r="B2" s="14"/>
      <c r="C2" s="14"/>
      <c r="D2" s="14"/>
      <c r="E2" s="14"/>
      <c r="F2" s="14"/>
      <c r="G2" s="14"/>
      <c r="H2" s="14"/>
      <c r="I2" s="14"/>
      <c r="J2" s="14"/>
      <c r="K2" s="14"/>
      <c r="L2" s="14"/>
      <c r="M2" s="14"/>
      <c r="N2" s="14"/>
      <c r="O2" s="14"/>
      <c r="P2" s="15"/>
    </row>
    <row r="3" spans="1:16">
      <c r="A3" s="14"/>
      <c r="B3" s="14"/>
      <c r="C3" s="14"/>
      <c r="D3" s="14"/>
      <c r="E3" s="14"/>
      <c r="F3" s="14"/>
      <c r="G3" s="14"/>
      <c r="H3" s="14"/>
      <c r="I3" s="14"/>
      <c r="J3" s="14"/>
      <c r="K3" s="14"/>
      <c r="L3" s="14"/>
      <c r="M3" s="14"/>
      <c r="N3" s="14"/>
      <c r="O3" s="14"/>
      <c r="P3" s="15"/>
    </row>
    <row r="4" spans="1:16">
      <c r="A4" s="14"/>
      <c r="B4" s="14"/>
      <c r="C4" s="14"/>
      <c r="D4" s="14"/>
      <c r="E4" s="14"/>
      <c r="F4" s="14"/>
      <c r="G4" s="14"/>
      <c r="H4" s="14"/>
      <c r="I4" s="14"/>
      <c r="J4" s="14"/>
      <c r="K4" s="14"/>
      <c r="L4" s="14"/>
      <c r="M4" s="14"/>
      <c r="N4" s="14"/>
      <c r="O4" s="14"/>
      <c r="P4" s="15"/>
    </row>
    <row r="5" spans="1:16">
      <c r="A5" s="14"/>
      <c r="B5" s="14"/>
      <c r="C5" s="14"/>
      <c r="D5" s="14"/>
      <c r="E5" s="14"/>
      <c r="F5" s="14"/>
      <c r="G5" s="14"/>
      <c r="H5" s="14"/>
      <c r="I5" s="14"/>
      <c r="J5" s="14"/>
      <c r="K5" s="14"/>
      <c r="L5" s="14"/>
      <c r="M5" s="14"/>
      <c r="N5" s="14"/>
      <c r="O5" s="14"/>
      <c r="P5" s="15"/>
    </row>
    <row r="6" spans="1:16">
      <c r="A6" s="14"/>
      <c r="B6" s="14"/>
      <c r="C6" s="14"/>
      <c r="D6" s="14"/>
      <c r="E6" s="14"/>
      <c r="F6" s="14"/>
      <c r="G6" s="14"/>
      <c r="H6" s="14"/>
      <c r="I6" s="14"/>
      <c r="J6" s="14"/>
      <c r="K6" s="14"/>
      <c r="L6" s="14"/>
      <c r="M6" s="14"/>
      <c r="N6" s="14"/>
      <c r="O6" s="14"/>
      <c r="P6" s="15"/>
    </row>
    <row r="7" spans="1:16">
      <c r="A7" s="14"/>
      <c r="B7" s="14"/>
      <c r="C7" s="14"/>
      <c r="D7" s="14"/>
      <c r="E7" s="14"/>
      <c r="F7" s="14"/>
      <c r="G7" s="14"/>
      <c r="H7" s="14"/>
      <c r="I7" s="14"/>
      <c r="J7" s="14"/>
      <c r="K7" s="14"/>
      <c r="L7" s="14"/>
      <c r="M7" s="14"/>
      <c r="N7" s="14"/>
      <c r="O7" s="14"/>
      <c r="P7" s="15"/>
    </row>
    <row r="8" spans="1:16">
      <c r="A8" s="14"/>
      <c r="B8" s="14"/>
      <c r="C8" s="14"/>
      <c r="D8" s="14"/>
      <c r="E8" s="14"/>
      <c r="F8" s="14"/>
      <c r="G8" s="14"/>
      <c r="H8" s="14"/>
      <c r="I8" s="14"/>
      <c r="J8" s="14"/>
      <c r="K8" s="14"/>
      <c r="L8" s="14"/>
      <c r="M8" s="14"/>
      <c r="N8" s="14"/>
      <c r="O8" s="14"/>
      <c r="P8" s="15"/>
    </row>
    <row r="9" spans="1:16">
      <c r="A9" s="14"/>
      <c r="B9" s="14"/>
      <c r="C9" s="14"/>
      <c r="D9" s="14"/>
      <c r="E9" s="14"/>
      <c r="F9" s="14"/>
      <c r="G9" s="14"/>
      <c r="H9" s="14"/>
      <c r="I9" s="14"/>
      <c r="J9" s="14"/>
      <c r="K9" s="14"/>
      <c r="L9" s="14"/>
      <c r="M9" s="14"/>
      <c r="N9" s="14"/>
      <c r="O9" s="14"/>
      <c r="P9" s="15"/>
    </row>
    <row r="10" spans="1:16">
      <c r="A10" s="14"/>
      <c r="B10" s="14"/>
      <c r="C10" s="14"/>
      <c r="D10" s="14"/>
      <c r="E10" s="14"/>
      <c r="F10" s="14"/>
      <c r="G10" s="14"/>
      <c r="H10" s="14"/>
      <c r="I10" s="14"/>
      <c r="J10" s="14"/>
      <c r="K10" s="14"/>
      <c r="L10" s="14"/>
      <c r="M10" s="14"/>
      <c r="N10" s="14"/>
      <c r="O10" s="14"/>
      <c r="P10" s="15"/>
    </row>
    <row r="11" spans="1:16">
      <c r="A11" s="14"/>
      <c r="B11" s="14"/>
      <c r="C11" s="14"/>
      <c r="D11" s="14"/>
      <c r="E11" s="14"/>
      <c r="F11" s="14"/>
      <c r="G11" s="14"/>
      <c r="H11" s="14"/>
      <c r="I11" s="14"/>
      <c r="J11" s="14"/>
      <c r="K11" s="14"/>
      <c r="L11" s="14"/>
      <c r="M11" s="14"/>
      <c r="N11" s="14"/>
      <c r="O11" s="14"/>
      <c r="P11" s="15"/>
    </row>
    <row r="12" spans="1:16">
      <c r="A12" s="14"/>
      <c r="B12" s="14"/>
      <c r="C12" s="14"/>
      <c r="D12" s="14"/>
      <c r="E12" s="14"/>
      <c r="F12" s="14"/>
      <c r="G12" s="14"/>
      <c r="H12" s="14"/>
      <c r="I12" s="14"/>
      <c r="J12" s="14"/>
      <c r="K12" s="14"/>
      <c r="L12" s="14"/>
      <c r="M12" s="14"/>
      <c r="N12" s="14"/>
      <c r="O12" s="14"/>
      <c r="P12" s="15"/>
    </row>
    <row r="13" spans="1:16">
      <c r="A13" s="14"/>
      <c r="B13" s="14"/>
      <c r="C13" s="14"/>
      <c r="D13" s="14"/>
      <c r="E13" s="14"/>
      <c r="F13" s="14"/>
      <c r="G13" s="14"/>
      <c r="H13" s="14"/>
      <c r="I13" s="14"/>
      <c r="J13" s="14"/>
      <c r="K13" s="14"/>
      <c r="L13" s="14"/>
      <c r="M13" s="14"/>
      <c r="N13" s="14"/>
      <c r="O13" s="14"/>
      <c r="P13" s="15"/>
    </row>
    <row r="14" spans="1:16">
      <c r="A14" s="14"/>
      <c r="B14" s="14"/>
      <c r="C14" s="14"/>
      <c r="D14" s="14"/>
      <c r="E14" s="14"/>
      <c r="F14" s="14"/>
      <c r="G14" s="14"/>
      <c r="H14" s="14"/>
      <c r="I14" s="14"/>
      <c r="J14" s="14"/>
      <c r="K14" s="14"/>
      <c r="L14" s="14"/>
      <c r="M14" s="14"/>
      <c r="N14" s="14"/>
      <c r="O14" s="14"/>
      <c r="P14" s="15"/>
    </row>
    <row r="15" spans="1:16">
      <c r="A15" s="14"/>
      <c r="B15" s="14"/>
      <c r="C15" s="14"/>
      <c r="D15" s="14"/>
      <c r="E15" s="14"/>
      <c r="F15" s="14"/>
      <c r="G15" s="14"/>
      <c r="H15" s="14"/>
      <c r="I15" s="14"/>
      <c r="J15" s="14"/>
      <c r="K15" s="14"/>
      <c r="L15" s="14"/>
      <c r="M15" s="14"/>
      <c r="N15" s="14"/>
      <c r="O15" s="14"/>
      <c r="P15" s="15"/>
    </row>
    <row r="16" spans="1:16">
      <c r="A16" s="14"/>
      <c r="B16" s="14"/>
      <c r="C16" s="14"/>
      <c r="D16" s="14"/>
      <c r="E16" s="14"/>
      <c r="F16" s="14"/>
      <c r="G16" s="14"/>
      <c r="H16" s="14"/>
      <c r="I16" s="14"/>
      <c r="J16" s="14"/>
      <c r="K16" s="14"/>
      <c r="L16" s="14"/>
      <c r="M16" s="14"/>
      <c r="N16" s="14"/>
      <c r="O16" s="14"/>
      <c r="P16" s="15"/>
    </row>
    <row r="17" spans="1:16">
      <c r="A17" s="14"/>
      <c r="B17" s="14"/>
      <c r="C17" s="14"/>
      <c r="D17" s="14"/>
      <c r="E17" s="14"/>
      <c r="F17" s="14"/>
      <c r="G17" s="14"/>
      <c r="H17" s="14"/>
      <c r="I17" s="14"/>
      <c r="J17" s="14"/>
      <c r="K17" s="14"/>
      <c r="L17" s="14"/>
      <c r="M17" s="14"/>
      <c r="N17" s="14"/>
      <c r="O17" s="14"/>
      <c r="P17" s="15"/>
    </row>
    <row r="18" spans="1:16">
      <c r="A18" s="14"/>
      <c r="B18" s="14"/>
      <c r="C18" s="14"/>
      <c r="D18" s="14"/>
      <c r="E18" s="14"/>
      <c r="F18" s="14"/>
      <c r="G18" s="14"/>
      <c r="H18" s="14"/>
      <c r="I18" s="14"/>
      <c r="J18" s="14"/>
      <c r="K18" s="14"/>
      <c r="L18" s="14"/>
      <c r="M18" s="14"/>
      <c r="N18" s="14"/>
      <c r="O18" s="14"/>
      <c r="P18" s="15"/>
    </row>
    <row r="19" spans="1:16">
      <c r="A19" s="14"/>
      <c r="B19" s="14"/>
      <c r="C19" s="14"/>
      <c r="D19" s="14"/>
      <c r="E19" s="14"/>
      <c r="F19" s="14"/>
      <c r="G19" s="14"/>
      <c r="H19" s="14"/>
      <c r="I19" s="14"/>
      <c r="J19" s="14"/>
      <c r="K19" s="14"/>
      <c r="L19" s="14"/>
      <c r="M19" s="14"/>
      <c r="N19" s="14"/>
      <c r="O19" s="14"/>
      <c r="P19" s="15"/>
    </row>
    <row r="20" spans="1:16">
      <c r="A20" s="14"/>
      <c r="B20" s="14"/>
      <c r="C20" s="14"/>
      <c r="D20" s="14"/>
      <c r="E20" s="14"/>
      <c r="F20" s="14"/>
      <c r="G20" s="14"/>
      <c r="H20" s="14"/>
      <c r="I20" s="14"/>
      <c r="J20" s="14"/>
      <c r="K20" s="14"/>
      <c r="L20" s="14"/>
      <c r="M20" s="14"/>
      <c r="N20" s="14"/>
      <c r="O20" s="14"/>
      <c r="P20" s="15"/>
    </row>
    <row r="21" spans="1:16">
      <c r="A21" s="14"/>
      <c r="B21" s="14"/>
      <c r="C21" s="14"/>
      <c r="D21" s="14"/>
      <c r="E21" s="14"/>
      <c r="F21" s="14"/>
      <c r="G21" s="14"/>
      <c r="H21" s="14"/>
      <c r="I21" s="14"/>
      <c r="J21" s="14"/>
      <c r="K21" s="14"/>
      <c r="L21" s="14"/>
      <c r="M21" s="14"/>
      <c r="N21" s="14"/>
      <c r="O21" s="14"/>
      <c r="P21" s="15"/>
    </row>
    <row r="22" spans="1:16">
      <c r="A22" s="14"/>
      <c r="B22" s="14"/>
      <c r="C22" s="14"/>
      <c r="D22" s="14"/>
      <c r="E22" s="14"/>
      <c r="F22" s="14"/>
      <c r="G22" s="14"/>
      <c r="H22" s="14"/>
      <c r="I22" s="14"/>
      <c r="J22" s="14"/>
      <c r="K22" s="14"/>
      <c r="L22" s="14"/>
      <c r="M22" s="14"/>
      <c r="N22" s="14"/>
      <c r="O22" s="14"/>
      <c r="P22" s="15"/>
    </row>
    <row r="23" spans="1:16">
      <c r="A23" s="14"/>
      <c r="B23" s="14"/>
      <c r="C23" s="14"/>
      <c r="D23" s="14"/>
      <c r="E23" s="14"/>
      <c r="F23" s="14"/>
      <c r="G23" s="14"/>
      <c r="H23" s="14"/>
      <c r="I23" s="14"/>
      <c r="J23" s="14"/>
      <c r="K23" s="14"/>
      <c r="L23" s="14"/>
      <c r="M23" s="14"/>
      <c r="N23" s="14"/>
      <c r="O23" s="14"/>
      <c r="P23" s="15"/>
    </row>
    <row r="24" spans="1:16">
      <c r="A24" s="14"/>
      <c r="B24" s="14"/>
      <c r="C24" s="14"/>
      <c r="D24" s="14"/>
      <c r="E24" s="14"/>
      <c r="F24" s="14"/>
      <c r="G24" s="14"/>
      <c r="H24" s="14"/>
      <c r="I24" s="14"/>
      <c r="J24" s="14"/>
      <c r="K24" s="14"/>
      <c r="L24" s="14"/>
      <c r="M24" s="14"/>
      <c r="N24" s="14"/>
      <c r="O24" s="14"/>
      <c r="P24" s="15"/>
    </row>
    <row r="25" spans="1:16">
      <c r="A25" s="14"/>
      <c r="B25" s="14"/>
      <c r="C25" s="14"/>
      <c r="D25" s="14"/>
      <c r="E25" s="14"/>
      <c r="F25" s="14"/>
      <c r="G25" s="14"/>
      <c r="H25" s="14"/>
      <c r="I25" s="14"/>
      <c r="J25" s="14"/>
      <c r="K25" s="14"/>
      <c r="L25" s="14"/>
      <c r="M25" s="14"/>
      <c r="N25" s="14"/>
      <c r="O25" s="14"/>
      <c r="P25" s="15"/>
    </row>
    <row r="26" spans="1:16">
      <c r="A26" s="14"/>
      <c r="B26" s="14"/>
      <c r="C26" s="14"/>
      <c r="D26" s="14"/>
      <c r="E26" s="14"/>
      <c r="F26" s="14"/>
      <c r="G26" s="14"/>
      <c r="H26" s="14"/>
      <c r="I26" s="14"/>
      <c r="J26" s="14"/>
      <c r="K26" s="14"/>
      <c r="L26" s="14"/>
      <c r="M26" s="14"/>
      <c r="N26" s="14"/>
      <c r="O26" s="14"/>
      <c r="P26" s="15"/>
    </row>
    <row r="27" spans="1:16">
      <c r="A27" s="14"/>
      <c r="B27" s="14"/>
      <c r="C27" s="14"/>
      <c r="D27" s="14"/>
      <c r="E27" s="14"/>
      <c r="F27" s="14"/>
      <c r="G27" s="14"/>
      <c r="H27" s="14"/>
      <c r="I27" s="14"/>
      <c r="J27" s="14"/>
      <c r="K27" s="14"/>
      <c r="L27" s="14"/>
      <c r="M27" s="14"/>
      <c r="N27" s="14"/>
      <c r="O27" s="14"/>
      <c r="P27" s="15"/>
    </row>
    <row r="28" spans="1:16" ht="16.05" customHeight="1">
      <c r="A28" s="14"/>
      <c r="B28" s="14"/>
      <c r="C28" s="14"/>
      <c r="D28" s="14"/>
      <c r="E28" s="14"/>
      <c r="F28" s="14"/>
      <c r="G28" s="14"/>
      <c r="H28" s="14"/>
      <c r="I28" s="14"/>
      <c r="J28" s="14"/>
      <c r="K28" s="14"/>
      <c r="L28" s="14"/>
      <c r="M28" s="14"/>
      <c r="N28" s="14"/>
      <c r="O28" s="14"/>
      <c r="P28" s="15"/>
    </row>
    <row r="29" spans="1:16" ht="16.05" customHeight="1">
      <c r="A29" s="14"/>
      <c r="B29" s="14"/>
      <c r="C29" s="14"/>
      <c r="D29" s="14"/>
      <c r="E29" s="14"/>
      <c r="F29" s="14"/>
      <c r="G29" s="14"/>
      <c r="H29" s="14"/>
      <c r="I29" s="14"/>
      <c r="J29" s="14"/>
      <c r="K29" s="14"/>
      <c r="L29" s="14"/>
      <c r="M29" s="14"/>
      <c r="N29" s="14"/>
      <c r="O29" s="14"/>
      <c r="P29" s="15"/>
    </row>
    <row r="30" spans="1:16" ht="16.05" customHeight="1">
      <c r="A30" s="14"/>
      <c r="B30" s="14"/>
      <c r="C30" s="14"/>
      <c r="D30" s="14"/>
      <c r="E30" s="14"/>
      <c r="F30" s="14"/>
      <c r="G30" s="14"/>
      <c r="H30" s="14"/>
      <c r="I30" s="14"/>
      <c r="J30" s="14"/>
      <c r="K30" s="14"/>
      <c r="L30" s="14"/>
      <c r="M30" s="14"/>
      <c r="N30" s="14"/>
      <c r="O30" s="14"/>
      <c r="P30" s="15"/>
    </row>
    <row r="31" spans="1:16" ht="16.05" customHeight="1">
      <c r="A31" s="14"/>
      <c r="B31" s="14"/>
      <c r="C31" s="14"/>
      <c r="D31" s="14"/>
      <c r="E31" s="14"/>
      <c r="F31" s="14"/>
      <c r="G31" s="14"/>
      <c r="H31" s="14"/>
      <c r="I31" s="14"/>
      <c r="J31" s="14"/>
      <c r="K31" s="14"/>
      <c r="L31" s="14"/>
      <c r="M31" s="14"/>
      <c r="N31" s="14"/>
      <c r="O31" s="14"/>
      <c r="P31" s="15"/>
    </row>
    <row r="32" spans="1:16" ht="7.95" customHeight="1">
      <c r="P32" s="16"/>
    </row>
    <row r="33" spans="2:17" ht="42" customHeight="1" thickBot="1">
      <c r="B33" s="30" t="s">
        <v>36</v>
      </c>
      <c r="C33" s="31" t="s">
        <v>37</v>
      </c>
      <c r="D33" s="32"/>
      <c r="E33" s="30" t="s">
        <v>35</v>
      </c>
      <c r="F33" s="31" t="s">
        <v>37</v>
      </c>
      <c r="G33" s="32"/>
      <c r="H33" s="30" t="s">
        <v>6</v>
      </c>
      <c r="I33" s="31" t="s">
        <v>37</v>
      </c>
      <c r="J33" s="32"/>
      <c r="K33" s="30" t="s">
        <v>30</v>
      </c>
      <c r="L33" s="31" t="s">
        <v>37</v>
      </c>
      <c r="M33" s="32"/>
      <c r="N33" s="30" t="s">
        <v>11</v>
      </c>
      <c r="O33" s="33" t="s">
        <v>40</v>
      </c>
      <c r="P33" s="33" t="s">
        <v>41</v>
      </c>
      <c r="Q33" s="33" t="s">
        <v>42</v>
      </c>
    </row>
    <row r="34" spans="2:17" ht="15.6" thickTop="1">
      <c r="B34" s="28" t="s">
        <v>43</v>
      </c>
      <c r="C34" s="34">
        <f>COUNTIF(Table_test_case[FUNGTION],TablePage[[#This Row],[PAGE]])</f>
        <v>1</v>
      </c>
      <c r="D34" s="28"/>
      <c r="E34" s="28" t="s">
        <v>8</v>
      </c>
      <c r="F34" s="34">
        <f>COUNTIF(Table_test_case[TEST TYPE],TableTestType[[#This Row],[TYPE TEST]])</f>
        <v>16</v>
      </c>
      <c r="G34" s="28"/>
      <c r="H34" s="28" t="s">
        <v>26</v>
      </c>
      <c r="I34" s="34">
        <f>COUNTIF(Table_test_case[STATUS],TableStatus[[#This Row],[STATUS]])</f>
        <v>0</v>
      </c>
      <c r="J34" s="28"/>
      <c r="K34" s="28" t="s">
        <v>31</v>
      </c>
      <c r="L34" s="34">
        <f>COUNTIF(Table_test_case[PRIORITY],TablePriority[[#This Row],[PRIORITY ]])</f>
        <v>0</v>
      </c>
      <c r="M34" s="28"/>
      <c r="N34" s="28" t="s">
        <v>55</v>
      </c>
      <c r="O34" s="34">
        <f>COUNTIF(Table_test_case[PIC],TablePic[[#This Row],[PIC]])</f>
        <v>15</v>
      </c>
      <c r="P34" s="34">
        <f>COUNTIF(Table_test_case[CREATED
BY],TablePic[[#This Row],[PIC]])</f>
        <v>15</v>
      </c>
      <c r="Q34" s="34">
        <f>COUNTIF(Table_test_case[EXECUTED
BY],TablePic[[#This Row],[PIC]])</f>
        <v>0</v>
      </c>
    </row>
    <row r="35" spans="2:17">
      <c r="B35" s="28" t="s">
        <v>44</v>
      </c>
      <c r="C35" s="34">
        <f>COUNTIF(Table_test_case[FUNGTION],TablePage[[#This Row],[PAGE]])</f>
        <v>1</v>
      </c>
      <c r="D35" s="28"/>
      <c r="E35" s="28" t="s">
        <v>12</v>
      </c>
      <c r="F35" s="34">
        <f>COUNTIF(Table_test_case[TEST TYPE],TableTestType[[#This Row],[TYPE TEST]])</f>
        <v>0</v>
      </c>
      <c r="G35" s="28"/>
      <c r="H35" s="28" t="s">
        <v>27</v>
      </c>
      <c r="I35" s="34">
        <f>COUNTIF(Table_test_case[STATUS],TableStatus[[#This Row],[STATUS]])</f>
        <v>0</v>
      </c>
      <c r="J35" s="28"/>
      <c r="K35" s="28" t="s">
        <v>32</v>
      </c>
      <c r="L35" s="34">
        <f>COUNTIF(Table_test_case[PRIORITY],TablePriority[[#This Row],[PRIORITY ]])</f>
        <v>0</v>
      </c>
      <c r="M35" s="28"/>
      <c r="N35" s="28" t="s">
        <v>56</v>
      </c>
      <c r="O35" s="34">
        <f>COUNTIF(Table_test_case[PIC],TablePic[[#This Row],[PIC]])</f>
        <v>0</v>
      </c>
      <c r="P35" s="34">
        <f>COUNTIF(Table_test_case[CREATED
BY],TablePic[[#This Row],[PIC]])</f>
        <v>0</v>
      </c>
      <c r="Q35" s="34">
        <f>COUNTIF(Table_test_case[EXECUTED
BY],TablePic[[#This Row],[PIC]])</f>
        <v>0</v>
      </c>
    </row>
    <row r="36" spans="2:17">
      <c r="B36" s="28" t="s">
        <v>45</v>
      </c>
      <c r="C36" s="39">
        <f>COUNTIF(Table_test_case[FUNGTION],TablePage[[#This Row],[PAGE]])</f>
        <v>2</v>
      </c>
      <c r="D36" s="28"/>
      <c r="E36" s="28"/>
      <c r="F36" s="28"/>
      <c r="G36" s="28"/>
      <c r="H36" s="28" t="s">
        <v>28</v>
      </c>
      <c r="I36" s="34">
        <f>COUNTIF(Table_test_case[STATUS],TableStatus[[#This Row],[STATUS]])</f>
        <v>0</v>
      </c>
      <c r="J36" s="28"/>
      <c r="K36" s="28" t="s">
        <v>33</v>
      </c>
      <c r="L36" s="34">
        <f>COUNTIF(Table_test_case[PRIORITY],TablePriority[[#This Row],[PRIORITY ]])</f>
        <v>0</v>
      </c>
      <c r="M36" s="28"/>
      <c r="N36" s="28" t="s">
        <v>57</v>
      </c>
      <c r="O36" s="34">
        <f>COUNTIF(Table_test_case[PIC],TablePic[[#This Row],[PIC]])</f>
        <v>0</v>
      </c>
      <c r="P36" s="34">
        <f>COUNTIF(Table_test_case[CREATED
BY],TablePic[[#This Row],[PIC]])</f>
        <v>0</v>
      </c>
      <c r="Q36" s="34">
        <f>COUNTIF(Table_test_case[EXECUTED
BY],TablePic[[#This Row],[PIC]])</f>
        <v>0</v>
      </c>
    </row>
    <row r="37" spans="2:17">
      <c r="B37" s="28" t="s">
        <v>46</v>
      </c>
      <c r="C37" s="39">
        <f>COUNTIF(Table_test_case[FUNGTION],TablePage[[#This Row],[PAGE]])</f>
        <v>12</v>
      </c>
      <c r="D37" s="28"/>
      <c r="E37" s="28"/>
      <c r="F37" s="28"/>
      <c r="G37" s="28"/>
      <c r="H37" s="28" t="s">
        <v>23</v>
      </c>
      <c r="I37" s="34">
        <f>COUNTIF(Table_test_case[STATUS],TableStatus[[#This Row],[STATUS]])</f>
        <v>16</v>
      </c>
      <c r="J37" s="28"/>
      <c r="K37" s="28" t="s">
        <v>34</v>
      </c>
      <c r="L37" s="34">
        <f>COUNTIF(Table_test_case[PRIORITY],TablePriority[[#This Row],[PRIORITY ]])</f>
        <v>1</v>
      </c>
      <c r="M37" s="28"/>
      <c r="N37" s="28"/>
      <c r="O37" s="28"/>
      <c r="P37" s="28"/>
    </row>
    <row r="38" spans="2:17">
      <c r="B38" s="28" t="s">
        <v>47</v>
      </c>
      <c r="C38" s="39">
        <f>COUNTIF(Table_test_case[FUNGTION],TablePage[[#This Row],[PAGE]])</f>
        <v>0</v>
      </c>
      <c r="D38" s="28"/>
      <c r="E38" s="28"/>
      <c r="F38" s="28"/>
      <c r="G38" s="28"/>
      <c r="H38" s="28"/>
      <c r="I38" s="29"/>
      <c r="J38" s="28"/>
      <c r="K38" s="28"/>
      <c r="L38" s="28"/>
      <c r="M38" s="28"/>
      <c r="N38" s="28"/>
      <c r="O38" s="28"/>
      <c r="P38" s="28"/>
    </row>
    <row r="39" spans="2:17">
      <c r="B39" s="28" t="s">
        <v>48</v>
      </c>
      <c r="C39" s="39">
        <f>COUNTIF(Table_test_case[FUNGTION],TablePage[[#This Row],[PAGE]])</f>
        <v>0</v>
      </c>
      <c r="D39" s="28"/>
      <c r="E39" s="28"/>
      <c r="F39" s="28"/>
      <c r="G39" s="28"/>
      <c r="H39" s="28"/>
      <c r="I39" s="29"/>
      <c r="J39" s="28"/>
      <c r="K39" s="28"/>
      <c r="L39" s="28"/>
      <c r="M39" s="28"/>
      <c r="N39" s="28"/>
      <c r="O39" s="28"/>
      <c r="P39" s="28"/>
    </row>
    <row r="40" spans="2:17">
      <c r="B40" s="28" t="s">
        <v>49</v>
      </c>
      <c r="C40" s="39">
        <f>COUNTIF(Table_test_case[FUNGTION],TablePage[[#This Row],[PAGE]])</f>
        <v>0</v>
      </c>
      <c r="D40" s="28"/>
      <c r="E40" s="28"/>
      <c r="F40" s="28"/>
      <c r="G40" s="28"/>
      <c r="H40" s="28"/>
      <c r="I40" s="29"/>
      <c r="J40" s="28"/>
      <c r="K40" s="28"/>
      <c r="L40" s="28"/>
      <c r="M40" s="28"/>
      <c r="N40" s="28"/>
      <c r="O40" s="28"/>
      <c r="P40" s="28"/>
    </row>
    <row r="41" spans="2:17">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7:T32"/>
  <sheetViews>
    <sheetView showGridLines="0" tabSelected="1" zoomScaleNormal="100" workbookViewId="0">
      <pane xSplit="6" ySplit="10" topLeftCell="H23" activePane="bottomRight" state="frozen"/>
      <selection activeCell="C17" sqref="C17:C18"/>
      <selection pane="topRight" activeCell="C17" sqref="C17:C18"/>
      <selection pane="bottomLeft" activeCell="C17" sqref="C17:C18"/>
      <selection pane="bottomRight" activeCell="J26" sqref="J26"/>
    </sheetView>
  </sheetViews>
  <sheetFormatPr defaultColWidth="9" defaultRowHeight="13.2"/>
  <cols>
    <col min="1" max="1" width="4" style="5" customWidth="1"/>
    <col min="2" max="2" width="30.796875" style="5" customWidth="1"/>
    <col min="3" max="3" width="9.796875" style="5" customWidth="1"/>
    <col min="4" max="4" width="9.5" style="5" bestFit="1" customWidth="1"/>
    <col min="5" max="5" width="11" style="5" customWidth="1"/>
    <col min="6" max="6" width="2.19921875" style="19" customWidth="1"/>
    <col min="7" max="12" width="35.69921875" style="5" customWidth="1"/>
    <col min="13" max="13" width="25.796875" style="5" customWidth="1"/>
    <col min="14" max="14" width="16" style="5" customWidth="1"/>
    <col min="15" max="16" width="12.796875" style="5" customWidth="1"/>
    <col min="17" max="17" width="16.796875" style="5" customWidth="1"/>
    <col min="18" max="18" width="12.796875" style="5" customWidth="1"/>
    <col min="19" max="19" width="16.796875" style="5" customWidth="1"/>
    <col min="20" max="20" width="9" style="12"/>
    <col min="21" max="16384" width="9" style="5"/>
  </cols>
  <sheetData>
    <row r="7" spans="1:20">
      <c r="A7" s="27"/>
      <c r="B7" s="6"/>
      <c r="C7" s="25"/>
      <c r="D7" s="26"/>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24" t="s">
        <v>0</v>
      </c>
      <c r="B10" s="24" t="s">
        <v>1</v>
      </c>
      <c r="C10" s="24" t="s">
        <v>24</v>
      </c>
      <c r="D10" s="24" t="s">
        <v>5</v>
      </c>
      <c r="E10" s="24" t="s">
        <v>6</v>
      </c>
      <c r="F10" s="24" t="s">
        <v>38</v>
      </c>
      <c r="G10" s="24" t="s">
        <v>17</v>
      </c>
      <c r="H10" s="24" t="s">
        <v>18</v>
      </c>
      <c r="I10" s="24" t="s">
        <v>39</v>
      </c>
      <c r="J10" s="24" t="s">
        <v>2</v>
      </c>
      <c r="K10" s="24" t="s">
        <v>3</v>
      </c>
      <c r="L10" s="24" t="s">
        <v>4</v>
      </c>
      <c r="M10" s="24" t="s">
        <v>7</v>
      </c>
      <c r="N10" s="24" t="s">
        <v>29</v>
      </c>
      <c r="O10" s="24" t="s">
        <v>11</v>
      </c>
      <c r="P10" s="24" t="s">
        <v>19</v>
      </c>
      <c r="Q10" s="24" t="s">
        <v>20</v>
      </c>
      <c r="R10" s="24" t="s">
        <v>21</v>
      </c>
      <c r="S10" s="24" t="s">
        <v>22</v>
      </c>
      <c r="T10" s="5"/>
    </row>
    <row r="11" spans="1:20" s="11" customFormat="1" ht="52.8">
      <c r="A11" s="20">
        <v>1</v>
      </c>
      <c r="B11" s="21" t="s">
        <v>43</v>
      </c>
      <c r="C11" s="21" t="s">
        <v>50</v>
      </c>
      <c r="D11" s="21" t="s">
        <v>8</v>
      </c>
      <c r="E11" s="21" t="s">
        <v>23</v>
      </c>
      <c r="F11" s="18"/>
      <c r="G11" s="18" t="s">
        <v>51</v>
      </c>
      <c r="H11" s="18" t="s">
        <v>52</v>
      </c>
      <c r="I11" s="18" t="s">
        <v>59</v>
      </c>
      <c r="J11" s="18" t="s">
        <v>53</v>
      </c>
      <c r="K11" s="18" t="s">
        <v>54</v>
      </c>
      <c r="L11" s="18"/>
      <c r="M11" s="22"/>
      <c r="N11" s="22" t="s">
        <v>34</v>
      </c>
      <c r="O11" s="22" t="s">
        <v>55</v>
      </c>
      <c r="P11" s="21" t="s">
        <v>55</v>
      </c>
      <c r="Q11" s="23">
        <v>44685.622916666667</v>
      </c>
      <c r="R11" s="22"/>
      <c r="S11" s="23"/>
    </row>
    <row r="12" spans="1:20" s="11" customFormat="1" ht="52.8">
      <c r="A12" s="20">
        <v>2</v>
      </c>
      <c r="B12" s="21" t="s">
        <v>44</v>
      </c>
      <c r="C12" s="21" t="s">
        <v>58</v>
      </c>
      <c r="D12" s="21" t="s">
        <v>8</v>
      </c>
      <c r="E12" s="21" t="s">
        <v>23</v>
      </c>
      <c r="F12" s="18"/>
      <c r="G12" s="18" t="s">
        <v>71</v>
      </c>
      <c r="H12" s="18" t="s">
        <v>50</v>
      </c>
      <c r="I12" s="18" t="s">
        <v>60</v>
      </c>
      <c r="J12" s="18" t="s">
        <v>61</v>
      </c>
      <c r="K12" s="18" t="s">
        <v>62</v>
      </c>
      <c r="L12" s="18"/>
      <c r="M12" s="22"/>
      <c r="N12" s="22"/>
      <c r="O12" s="22" t="s">
        <v>55</v>
      </c>
      <c r="P12" s="21" t="s">
        <v>55</v>
      </c>
      <c r="Q12" s="23">
        <v>44685.623564814814</v>
      </c>
      <c r="R12" s="22"/>
      <c r="S12" s="23"/>
    </row>
    <row r="13" spans="1:20" s="11" customFormat="1" ht="52.8">
      <c r="A13" s="20">
        <v>3</v>
      </c>
      <c r="B13" s="21" t="s">
        <v>45</v>
      </c>
      <c r="C13" s="21" t="s">
        <v>15</v>
      </c>
      <c r="D13" s="21" t="s">
        <v>8</v>
      </c>
      <c r="E13" s="21" t="s">
        <v>23</v>
      </c>
      <c r="F13" s="18"/>
      <c r="G13" s="18" t="s">
        <v>70</v>
      </c>
      <c r="H13" s="18" t="s">
        <v>50</v>
      </c>
      <c r="I13" s="18"/>
      <c r="J13" s="18"/>
      <c r="K13" s="18" t="s">
        <v>63</v>
      </c>
      <c r="L13" s="18"/>
      <c r="M13" s="22"/>
      <c r="N13" s="22"/>
      <c r="O13" s="22" t="s">
        <v>55</v>
      </c>
      <c r="P13" s="21" t="s">
        <v>55</v>
      </c>
      <c r="Q13" s="23">
        <v>44685.626689814817</v>
      </c>
      <c r="R13" s="22"/>
      <c r="S13" s="23"/>
    </row>
    <row r="14" spans="1:20" ht="52.8">
      <c r="A14" s="20">
        <v>4</v>
      </c>
      <c r="B14" s="21" t="s">
        <v>45</v>
      </c>
      <c r="C14" s="21" t="s">
        <v>64</v>
      </c>
      <c r="D14" s="21" t="s">
        <v>8</v>
      </c>
      <c r="E14" s="21" t="s">
        <v>23</v>
      </c>
      <c r="F14" s="18"/>
      <c r="G14" s="18" t="s">
        <v>69</v>
      </c>
      <c r="H14" s="18" t="s">
        <v>50</v>
      </c>
      <c r="I14" s="18"/>
      <c r="J14" s="18" t="s">
        <v>65</v>
      </c>
      <c r="K14" s="18" t="s">
        <v>66</v>
      </c>
      <c r="L14" s="18"/>
      <c r="M14" s="22"/>
      <c r="N14" s="22"/>
      <c r="O14" s="22" t="s">
        <v>55</v>
      </c>
      <c r="P14" s="21" t="s">
        <v>55</v>
      </c>
      <c r="Q14" s="23">
        <v>44685.629155092596</v>
      </c>
      <c r="R14" s="22"/>
      <c r="S14" s="23"/>
    </row>
    <row r="15" spans="1:20" ht="66">
      <c r="A15" s="20">
        <v>5</v>
      </c>
      <c r="B15" s="21" t="s">
        <v>46</v>
      </c>
      <c r="C15" s="21" t="s">
        <v>16</v>
      </c>
      <c r="D15" s="21" t="s">
        <v>8</v>
      </c>
      <c r="E15" s="21" t="s">
        <v>23</v>
      </c>
      <c r="F15" s="18"/>
      <c r="G15" s="18" t="s">
        <v>68</v>
      </c>
      <c r="H15" s="18" t="s">
        <v>50</v>
      </c>
      <c r="I15" s="18"/>
      <c r="J15" s="18"/>
      <c r="K15" s="18" t="s">
        <v>67</v>
      </c>
      <c r="L15" s="18"/>
      <c r="M15" s="22"/>
      <c r="N15" s="22"/>
      <c r="O15" s="22" t="s">
        <v>55</v>
      </c>
      <c r="P15" s="21" t="s">
        <v>55</v>
      </c>
      <c r="Q15" s="23">
        <v>44685.632534722223</v>
      </c>
      <c r="R15" s="22"/>
      <c r="S15" s="23"/>
    </row>
    <row r="16" spans="1:20" ht="52.8">
      <c r="A16" s="20">
        <v>6</v>
      </c>
      <c r="B16" s="21" t="s">
        <v>46</v>
      </c>
      <c r="C16" s="21" t="s">
        <v>72</v>
      </c>
      <c r="D16" s="21" t="s">
        <v>8</v>
      </c>
      <c r="E16" s="21" t="s">
        <v>23</v>
      </c>
      <c r="F16" s="18"/>
      <c r="G16" s="18" t="s">
        <v>73</v>
      </c>
      <c r="H16" s="18" t="s">
        <v>50</v>
      </c>
      <c r="I16" s="18"/>
      <c r="J16" s="18" t="s">
        <v>74</v>
      </c>
      <c r="K16" s="18" t="s">
        <v>75</v>
      </c>
      <c r="L16" s="18"/>
      <c r="M16" s="22"/>
      <c r="N16" s="22"/>
      <c r="O16" s="22" t="s">
        <v>55</v>
      </c>
      <c r="P16" s="21" t="s">
        <v>55</v>
      </c>
      <c r="Q16" s="23">
        <v>44685.636064814818</v>
      </c>
      <c r="R16" s="22"/>
      <c r="S16" s="23"/>
    </row>
    <row r="17" spans="1:19" ht="52.8">
      <c r="A17" s="40">
        <f>A16+1</f>
        <v>7</v>
      </c>
      <c r="B17" s="41" t="s">
        <v>46</v>
      </c>
      <c r="C17" s="41" t="s">
        <v>76</v>
      </c>
      <c r="D17" s="47" t="s">
        <v>8</v>
      </c>
      <c r="E17" s="47" t="s">
        <v>23</v>
      </c>
      <c r="F17" s="43"/>
      <c r="G17" s="46" t="s">
        <v>77</v>
      </c>
      <c r="H17" s="47" t="s">
        <v>50</v>
      </c>
      <c r="I17" s="43"/>
      <c r="J17" s="42"/>
      <c r="K17" s="43" t="s">
        <v>78</v>
      </c>
      <c r="L17" s="43"/>
      <c r="M17" s="44"/>
      <c r="N17" s="44"/>
      <c r="O17" s="44" t="s">
        <v>55</v>
      </c>
      <c r="P17" s="41" t="s">
        <v>55</v>
      </c>
      <c r="Q17" s="45">
        <v>44685.638888888891</v>
      </c>
      <c r="R17" s="44"/>
      <c r="S17" s="45"/>
    </row>
    <row r="18" spans="1:19" ht="118.8">
      <c r="A18" s="40">
        <v>8</v>
      </c>
      <c r="B18" s="41" t="s">
        <v>46</v>
      </c>
      <c r="C18" s="41" t="s">
        <v>79</v>
      </c>
      <c r="D18" s="47" t="s">
        <v>8</v>
      </c>
      <c r="E18" s="47" t="s">
        <v>23</v>
      </c>
      <c r="F18" s="43"/>
      <c r="G18" s="46" t="s">
        <v>81</v>
      </c>
      <c r="H18" s="47" t="s">
        <v>50</v>
      </c>
      <c r="I18" s="43" t="s">
        <v>80</v>
      </c>
      <c r="J18" s="46" t="s">
        <v>85</v>
      </c>
      <c r="K18" s="43" t="s">
        <v>82</v>
      </c>
      <c r="L18" s="43"/>
      <c r="M18" s="44"/>
      <c r="N18" s="44"/>
      <c r="O18" s="44" t="s">
        <v>55</v>
      </c>
      <c r="P18" s="41" t="s">
        <v>55</v>
      </c>
      <c r="Q18" s="45">
        <v>44685.643194444441</v>
      </c>
      <c r="R18" s="44"/>
      <c r="S18" s="45"/>
    </row>
    <row r="19" spans="1:19" ht="52.8">
      <c r="A19" s="40">
        <v>9</v>
      </c>
      <c r="B19" s="41" t="s">
        <v>46</v>
      </c>
      <c r="C19" s="41" t="s">
        <v>83</v>
      </c>
      <c r="D19" s="47" t="s">
        <v>8</v>
      </c>
      <c r="E19" s="47" t="s">
        <v>23</v>
      </c>
      <c r="F19" s="43"/>
      <c r="G19" s="46" t="s">
        <v>84</v>
      </c>
      <c r="H19" s="47" t="s">
        <v>50</v>
      </c>
      <c r="I19" s="43" t="s">
        <v>86</v>
      </c>
      <c r="J19" s="46" t="s">
        <v>88</v>
      </c>
      <c r="K19" s="43" t="s">
        <v>89</v>
      </c>
      <c r="L19" s="43"/>
      <c r="M19" s="44"/>
      <c r="N19" s="44"/>
      <c r="O19" s="44" t="s">
        <v>55</v>
      </c>
      <c r="P19" s="41" t="s">
        <v>55</v>
      </c>
      <c r="Q19" s="45">
        <v>44685.650034722225</v>
      </c>
      <c r="R19" s="44"/>
      <c r="S19" s="45"/>
    </row>
    <row r="20" spans="1:19" ht="79.2">
      <c r="A20" s="40">
        <v>10</v>
      </c>
      <c r="B20" s="41" t="s">
        <v>46</v>
      </c>
      <c r="C20" s="41" t="s">
        <v>90</v>
      </c>
      <c r="D20" s="47" t="s">
        <v>8</v>
      </c>
      <c r="E20" s="47" t="s">
        <v>23</v>
      </c>
      <c r="F20" s="43"/>
      <c r="G20" s="46" t="s">
        <v>99</v>
      </c>
      <c r="H20" s="47" t="s">
        <v>50</v>
      </c>
      <c r="I20" s="43" t="s">
        <v>91</v>
      </c>
      <c r="J20" s="46" t="s">
        <v>95</v>
      </c>
      <c r="K20" s="43" t="s">
        <v>92</v>
      </c>
      <c r="L20" s="43"/>
      <c r="M20" s="44"/>
      <c r="N20" s="44"/>
      <c r="O20" s="44" t="s">
        <v>55</v>
      </c>
      <c r="P20" s="41" t="s">
        <v>55</v>
      </c>
      <c r="Q20" s="45">
        <v>44685.653009259258</v>
      </c>
      <c r="R20" s="44"/>
      <c r="S20" s="45"/>
    </row>
    <row r="21" spans="1:19" ht="79.2">
      <c r="A21" s="40">
        <v>11</v>
      </c>
      <c r="B21" s="41" t="s">
        <v>46</v>
      </c>
      <c r="C21" s="41" t="s">
        <v>93</v>
      </c>
      <c r="D21" s="47" t="s">
        <v>8</v>
      </c>
      <c r="E21" s="47" t="s">
        <v>23</v>
      </c>
      <c r="F21" s="43"/>
      <c r="G21" s="46" t="s">
        <v>98</v>
      </c>
      <c r="H21" s="47" t="s">
        <v>50</v>
      </c>
      <c r="I21" s="43" t="s">
        <v>94</v>
      </c>
      <c r="J21" s="46" t="s">
        <v>95</v>
      </c>
      <c r="K21" s="43" t="s">
        <v>96</v>
      </c>
      <c r="L21" s="43"/>
      <c r="M21" s="44"/>
      <c r="N21" s="44"/>
      <c r="O21" s="44" t="s">
        <v>55</v>
      </c>
      <c r="P21" s="41" t="s">
        <v>55</v>
      </c>
      <c r="Q21" s="45">
        <v>44685.655671296299</v>
      </c>
      <c r="R21" s="44"/>
      <c r="S21" s="45"/>
    </row>
    <row r="22" spans="1:19" ht="79.2">
      <c r="A22" s="40">
        <v>12</v>
      </c>
      <c r="B22" s="41" t="s">
        <v>46</v>
      </c>
      <c r="C22" s="41" t="s">
        <v>97</v>
      </c>
      <c r="D22" s="47" t="s">
        <v>8</v>
      </c>
      <c r="E22" s="47" t="s">
        <v>23</v>
      </c>
      <c r="F22" s="43"/>
      <c r="G22" s="46" t="s">
        <v>100</v>
      </c>
      <c r="H22" s="47" t="s">
        <v>50</v>
      </c>
      <c r="I22" s="43" t="s">
        <v>101</v>
      </c>
      <c r="J22" s="46" t="s">
        <v>95</v>
      </c>
      <c r="K22" s="43" t="s">
        <v>102</v>
      </c>
      <c r="L22" s="43"/>
      <c r="M22" s="44"/>
      <c r="N22" s="44"/>
      <c r="O22" s="44" t="s">
        <v>55</v>
      </c>
      <c r="P22" s="41" t="s">
        <v>55</v>
      </c>
      <c r="Q22" s="45">
        <v>44685.656712962962</v>
      </c>
      <c r="R22" s="44"/>
      <c r="S22" s="45"/>
    </row>
    <row r="23" spans="1:19" ht="52.8">
      <c r="A23" s="40">
        <v>13</v>
      </c>
      <c r="B23" s="41" t="s">
        <v>46</v>
      </c>
      <c r="C23" s="41" t="s">
        <v>103</v>
      </c>
      <c r="D23" s="47" t="s">
        <v>8</v>
      </c>
      <c r="E23" s="47" t="s">
        <v>23</v>
      </c>
      <c r="F23" s="43"/>
      <c r="G23" s="46" t="s">
        <v>104</v>
      </c>
      <c r="H23" s="47" t="s">
        <v>50</v>
      </c>
      <c r="I23" s="43"/>
      <c r="J23" s="46" t="s">
        <v>87</v>
      </c>
      <c r="K23" s="43" t="s">
        <v>105</v>
      </c>
      <c r="L23" s="43"/>
      <c r="M23" s="44"/>
      <c r="N23" s="44"/>
      <c r="O23" s="44" t="s">
        <v>55</v>
      </c>
      <c r="P23" s="41" t="s">
        <v>55</v>
      </c>
      <c r="Q23" s="45">
        <v>44685.657824074071</v>
      </c>
      <c r="R23" s="44"/>
      <c r="S23" s="45"/>
    </row>
    <row r="24" spans="1:19" ht="52.8">
      <c r="A24" s="40">
        <v>14</v>
      </c>
      <c r="B24" s="41" t="s">
        <v>46</v>
      </c>
      <c r="C24" s="41" t="s">
        <v>106</v>
      </c>
      <c r="D24" s="47" t="s">
        <v>8</v>
      </c>
      <c r="E24" s="47" t="s">
        <v>23</v>
      </c>
      <c r="F24" s="43"/>
      <c r="G24" s="46" t="s">
        <v>107</v>
      </c>
      <c r="H24" s="47" t="s">
        <v>50</v>
      </c>
      <c r="I24" s="43" t="s">
        <v>108</v>
      </c>
      <c r="J24" s="46" t="s">
        <v>95</v>
      </c>
      <c r="K24" s="43" t="s">
        <v>111</v>
      </c>
      <c r="L24" s="43"/>
      <c r="M24" s="44"/>
      <c r="N24" s="44"/>
      <c r="O24" s="44" t="s">
        <v>55</v>
      </c>
      <c r="P24" s="41" t="s">
        <v>55</v>
      </c>
      <c r="Q24" s="45">
        <v>44685.660081018519</v>
      </c>
      <c r="R24" s="44"/>
      <c r="S24" s="45"/>
    </row>
    <row r="25" spans="1:19" ht="52.8">
      <c r="A25" s="40">
        <v>15</v>
      </c>
      <c r="B25" s="41" t="s">
        <v>46</v>
      </c>
      <c r="C25" s="41" t="s">
        <v>109</v>
      </c>
      <c r="D25" s="47" t="s">
        <v>8</v>
      </c>
      <c r="E25" s="47" t="s">
        <v>23</v>
      </c>
      <c r="F25" s="43"/>
      <c r="G25" s="46" t="s">
        <v>110</v>
      </c>
      <c r="H25" s="47" t="s">
        <v>50</v>
      </c>
      <c r="I25" s="43" t="s">
        <v>108</v>
      </c>
      <c r="J25" s="46" t="s">
        <v>95</v>
      </c>
      <c r="K25" s="43" t="s">
        <v>112</v>
      </c>
      <c r="L25" s="43"/>
      <c r="M25" s="44"/>
      <c r="N25" s="44"/>
      <c r="O25" s="44" t="s">
        <v>55</v>
      </c>
      <c r="P25" s="41" t="s">
        <v>55</v>
      </c>
      <c r="Q25" s="45">
        <v>44685.661712962959</v>
      </c>
      <c r="R25" s="44"/>
      <c r="S25" s="45"/>
    </row>
    <row r="26" spans="1:19" ht="39.6">
      <c r="A26" s="40">
        <v>16</v>
      </c>
      <c r="B26" s="41" t="s">
        <v>46</v>
      </c>
      <c r="C26" s="41" t="s">
        <v>113</v>
      </c>
      <c r="D26" s="47" t="s">
        <v>8</v>
      </c>
      <c r="E26" s="47" t="s">
        <v>23</v>
      </c>
      <c r="F26" s="43"/>
      <c r="G26" s="46" t="s">
        <v>114</v>
      </c>
      <c r="H26" s="47" t="s">
        <v>50</v>
      </c>
      <c r="I26" s="43"/>
      <c r="J26" s="46"/>
      <c r="K26" s="43"/>
      <c r="L26" s="43"/>
      <c r="M26" s="44"/>
      <c r="N26" s="44"/>
      <c r="O26" s="44"/>
      <c r="P26" s="41" t="s">
        <v>9</v>
      </c>
      <c r="Q26" s="45">
        <v>44685.662916666668</v>
      </c>
      <c r="R26" s="44"/>
      <c r="S26" s="45"/>
    </row>
    <row r="27" spans="1:19" ht="13.8">
      <c r="B27" s="17" t="s">
        <v>10</v>
      </c>
      <c r="C27" s="17" t="s">
        <v>25</v>
      </c>
      <c r="E27" s="13"/>
    </row>
    <row r="28" spans="1:19" ht="14.4">
      <c r="B28" s="35" t="str" cm="1">
        <f t="array" ref="B28:C31">Dashboard!H34:I37</f>
        <v>Passed</v>
      </c>
      <c r="C28" s="36">
        <v>0</v>
      </c>
      <c r="D28" s="13"/>
      <c r="E28" s="13"/>
    </row>
    <row r="29" spans="1:19" ht="13.8">
      <c r="B29" s="35" t="str">
        <v>Failed</v>
      </c>
      <c r="C29" s="36">
        <v>0</v>
      </c>
    </row>
    <row r="30" spans="1:19" ht="13.8">
      <c r="B30" s="35" t="str">
        <v>Not Executed</v>
      </c>
      <c r="C30" s="36">
        <v>0</v>
      </c>
    </row>
    <row r="31" spans="1:19" ht="13.8">
      <c r="B31" s="35" t="str">
        <v>Not Ready</v>
      </c>
      <c r="C31" s="36">
        <v>16</v>
      </c>
    </row>
    <row r="32" spans="1:19" ht="13.8">
      <c r="B32" s="37" t="s">
        <v>37</v>
      </c>
      <c r="C32" s="38">
        <f>SUM(C28:C31)</f>
        <v>16</v>
      </c>
    </row>
  </sheetData>
  <dataValidations count="5">
    <dataValidation type="list" allowBlank="1" showInputMessage="1" showErrorMessage="1" sqref="D11:D26" xr:uid="{00000000-0002-0000-0000-000001000000}">
      <formula1>typeTestList</formula1>
    </dataValidation>
    <dataValidation type="list" allowBlank="1" showInputMessage="1" showErrorMessage="1" sqref="B11:B26" xr:uid="{00000000-0002-0000-0000-000000000000}">
      <formula1>pageList</formula1>
    </dataValidation>
    <dataValidation type="list" allowBlank="1" showInputMessage="1" showErrorMessage="1" sqref="E11:E26" xr:uid="{AB3C7D48-6248-BF44-BC67-9601FA3FEF51}">
      <formula1>statusList</formula1>
    </dataValidation>
    <dataValidation type="list" allowBlank="1" showInputMessage="1" showErrorMessage="1" sqref="N11:N26" xr:uid="{B8EBAFA2-42E0-C149-B2F2-1BAED273F9DD}">
      <formula1>priorityList</formula1>
    </dataValidation>
    <dataValidation type="list" allowBlank="1" showInputMessage="1" showErrorMessage="1" sqref="R11:R26 O11:P26"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114300</xdr:colOff>
                    <xdr:row>7</xdr:row>
                    <xdr:rowOff>38100</xdr:rowOff>
                  </from>
                  <to>
                    <xdr:col>1</xdr:col>
                    <xdr:colOff>1272540</xdr:colOff>
                    <xdr:row>8</xdr:row>
                    <xdr:rowOff>137160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1508760</xdr:colOff>
                    <xdr:row>7</xdr:row>
                    <xdr:rowOff>38100</xdr:rowOff>
                  </from>
                  <to>
                    <xdr:col>2</xdr:col>
                    <xdr:colOff>624840</xdr:colOff>
                    <xdr:row>8</xdr:row>
                    <xdr:rowOff>137160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3" id="{9D6610C4-829E-40B1-9539-3F8D2270CBC0}">
            <xm:f>$E11=Dashboard!$H$35</xm:f>
            <x14:dxf>
              <font>
                <color rgb="FF9C0006"/>
              </font>
              <fill>
                <patternFill>
                  <bgColor rgb="FFFFC7CE"/>
                </patternFill>
              </fill>
            </x14:dxf>
          </x14:cfRule>
          <xm:sqref>A11:S26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XA User</cp:lastModifiedBy>
  <cp:revision/>
  <dcterms:created xsi:type="dcterms:W3CDTF">2021-09-10T01:15:16Z</dcterms:created>
  <dcterms:modified xsi:type="dcterms:W3CDTF">2022-05-04T08:56:16Z</dcterms:modified>
  <cp:category/>
  <cp:contentStatus/>
</cp:coreProperties>
</file>