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D:\Batch288\xa-batch-288-qa-teknologi\003. Yasin\006. Manual Test Web thetestingworld.com\"/>
    </mc:Choice>
  </mc:AlternateContent>
  <xr:revisionPtr revIDLastSave="0" documentId="13_ncr:1_{F18690DE-DB1E-4AB8-B413-789D6454A76D}" xr6:coauthVersionLast="47" xr6:coauthVersionMax="47" xr10:uidLastSave="{00000000-0000-0000-0000-000000000000}"/>
  <bookViews>
    <workbookView xWindow="-108" yWindow="-108" windowWidth="23256" windowHeight="12576" activeTab="1" xr2:uid="{00000000-000D-0000-FFFF-FFFF00000000}"/>
  </bookViews>
  <sheets>
    <sheet name="Dashboard" sheetId="12" r:id="rId1"/>
    <sheet name="Test Case" sheetId="9" r:id="rId2"/>
    <sheet name="MACRO" sheetId="11" state="hidden" r:id="rId3"/>
  </sheets>
  <definedNames>
    <definedName name="_xlnm._FilterDatabase" localSheetId="1" hidden="1">'Test Case'!$A$10:$S$10</definedName>
    <definedName name="cityList">#REF!</definedName>
    <definedName name="list_test_case">'Test Case'!$A$11:$S$75</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37" i="12" l="1"/>
  <c r="C36" i="12"/>
  <c r="Q34" i="12"/>
  <c r="Q35" i="12"/>
  <c r="Q36" i="12"/>
  <c r="P34" i="12"/>
  <c r="P35" i="12"/>
  <c r="P36" i="12"/>
  <c r="C34" i="12" l="1"/>
  <c r="C35" i="12"/>
  <c r="O34" i="12"/>
  <c r="O35" i="12"/>
  <c r="O36" i="12"/>
  <c r="L34" i="12"/>
  <c r="L35" i="12"/>
  <c r="L36" i="12"/>
  <c r="L37" i="12"/>
  <c r="I35" i="12"/>
  <c r="I36" i="12"/>
  <c r="I37" i="12"/>
  <c r="I34" i="12"/>
  <c r="F34" i="12"/>
  <c r="F35" i="12"/>
  <c r="B77" i="9" l="1" a="1"/>
  <c r="B77" i="9" l="1"/>
  <c r="C81" i="9" l="1"/>
  <c r="C80" i="9"/>
  <c r="B80" i="9"/>
  <c r="C79" i="9"/>
  <c r="B79" i="9"/>
  <c r="C78" i="9"/>
  <c r="B78" i="9"/>
  <c r="C7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O10"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<sst xmlns="http://schemas.openxmlformats.org/spreadsheetml/2006/main" count="823" uniqueCount="337">
  <si>
    <t>NO.</t>
  </si>
  <si>
    <t>FUNGTION</t>
  </si>
  <si>
    <t>TEST STEPS</t>
  </si>
  <si>
    <t>EXPECTED RESULT</t>
  </si>
  <si>
    <t>ACTUAL RESULT</t>
  </si>
  <si>
    <t>TEST TYPE</t>
  </si>
  <si>
    <t>STATUS</t>
  </si>
  <si>
    <t>NOTES</t>
  </si>
  <si>
    <t>Positive</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</si>
  <si>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</si>
  <si>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</si>
  <si>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</si>
  <si>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</si>
  <si>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</si>
  <si>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DESCRIPTION</t>
  </si>
  <si>
    <t>PREREQUISITES</t>
  </si>
  <si>
    <t>CREATED
BY</t>
  </si>
  <si>
    <t>CREATED
ON</t>
  </si>
  <si>
    <t>EXECUTED
BY</t>
  </si>
  <si>
    <t>EXECUTED
ON</t>
  </si>
  <si>
    <t>Not Ready</t>
  </si>
  <si>
    <t>TEST
CASE
ID</t>
  </si>
  <si>
    <t>Total</t>
  </si>
  <si>
    <t>Passed</t>
  </si>
  <si>
    <t>Failed</t>
  </si>
  <si>
    <t>Not Executed</t>
  </si>
  <si>
    <t>PRIORITY</t>
  </si>
  <si>
    <t xml:space="preserve">PRIORITY </t>
  </si>
  <si>
    <t>Urgent</t>
  </si>
  <si>
    <t>High</t>
  </si>
  <si>
    <t>Medium</t>
  </si>
  <si>
    <t>Low</t>
  </si>
  <si>
    <t>TYPE TEST</t>
  </si>
  <si>
    <t>PAGE</t>
  </si>
  <si>
    <t>TOTAL</t>
  </si>
  <si>
    <t xml:space="preserve"> </t>
  </si>
  <si>
    <t>TEST DATA</t>
  </si>
  <si>
    <t>TOTAL
(Programmer)</t>
  </si>
  <si>
    <t>TOTAL
(Created)</t>
  </si>
  <si>
    <t>TOTAL
(Executor)</t>
  </si>
  <si>
    <t>Yasin</t>
  </si>
  <si>
    <t>1.1. Register</t>
  </si>
  <si>
    <t>1.2. Login</t>
  </si>
  <si>
    <t>1.3. Profile</t>
  </si>
  <si>
    <t>Beny</t>
  </si>
  <si>
    <t>Wahyu</t>
  </si>
  <si>
    <t>TC110001</t>
  </si>
  <si>
    <t>1. Aplikasi Browser Google Chrome
2. URL untuk web TheTestingWorld.com yang tersedia pada deskripsi</t>
  </si>
  <si>
    <t>TC110002</t>
  </si>
  <si>
    <t>Masuk ke halaman "Register" yang berisi entity inputan :
1.	User name
2.	Email
3.	Password
4.	Re-password
5.	Date of birth
6.	phone
7.	address
8.	Address type
9.	gender
10.	country
11.	state
12.	city
13.	zip code
14.	I agree with terms and conditions
15.	Read detail</t>
  </si>
  <si>
    <t>TC110003</t>
  </si>
  <si>
    <t>1. email : "belumterdaftar@gmail.com"</t>
  </si>
  <si>
    <t>1. Mengisi field email dengan email yang belum terdaftar, contohnya "belumterdaftar@gmail.com"</t>
  </si>
  <si>
    <t>1. email : "sudahterdaftar@gmail.com"</t>
  </si>
  <si>
    <t>1. Mengisi field email dengan email yang belum terdaftar, contohnya "sudahterdaftar@gmail.com"</t>
  </si>
  <si>
    <t>TC110004</t>
  </si>
  <si>
    <t>1. email : "belumterdaftar@gmail.com"
2. username : "yayas"
3. password : "p455w0rd"
4. re-password : "p455w0rd"
5. gender : "male"</t>
  </si>
  <si>
    <t>1. Mengisi semua field mandatory dengan Test Data
2. Mencentang Check Box "I agree with terms and conditions"</t>
  </si>
  <si>
    <t>TC110005</t>
  </si>
  <si>
    <t>1. email : "belumterdaftar@gmail.com"
2. username : ""
3. password : "p455w0rd"
4. re-password : "p455w0rd"
5. gender : "male"</t>
  </si>
  <si>
    <t>TC110006</t>
  </si>
  <si>
    <t>TC110007</t>
  </si>
  <si>
    <t>Tidak terdapat alert apapun dan user dapat melakukan proses registrasi</t>
  </si>
  <si>
    <t>TC110008</t>
  </si>
  <si>
    <t>1. Mengisi semua field mandatory dengan Test Data
2. Mencentang Check Box "I agree with terms and conditions"
3. Menekan tombol "Sign Up"</t>
  </si>
  <si>
    <t>tidak terdapat alert berupa "This email has already registered! Try another one!"</t>
  </si>
  <si>
    <t>terdapat alert berupa "This email has already registered! Try another one!"</t>
  </si>
  <si>
    <t>Ketika berada pada halaman registrasi, kemudian mengisi field email dan username dengan email atau username yang sudah terdaftar, maka akan menampilkan alert berupa "This email has already registered! Try another one"</t>
  </si>
  <si>
    <t>Ketika berada pada halaman registrasi, kemudian mengisi field email dan username dengan email atau username yang belum terdaftar tidak menampilkan alert apapun</t>
  </si>
  <si>
    <t>Pada halaman registrasi, ketika field Country kosong, kemudian mencoba mengisi filed Select State, maka item list yang ditampilkan berupa "Select State"</t>
  </si>
  <si>
    <t>1. Menekan tombol atau field "Select State"</t>
  </si>
  <si>
    <t>List Item yang dimunculkan hanya berupa "Select State"</t>
  </si>
  <si>
    <t>TC110009</t>
  </si>
  <si>
    <t>Pada halaman registrasi, ketika field Country terisi dengan Negara tertentu, kemudian mencoba mengisi filed Select State, maka item list yang ditampilkan berupa daftar states atau provinsi pada Negara yang dipilih</t>
  </si>
  <si>
    <t>1. Memilih Negara pada field "Country" yaitu "Indonesia"</t>
  </si>
  <si>
    <t>Menampilkan list item pada field "Select State" berupa daftar State atau Provinsi pada Negara yang dipilih</t>
  </si>
  <si>
    <t>TC110010</t>
  </si>
  <si>
    <t>1. Negara pada field "Country" dipilih "Indonesia"</t>
  </si>
  <si>
    <t>1. Menekan tombol atau field "Select City"</t>
  </si>
  <si>
    <t>List Item yang dimunculkan hanya berupa "Select City"</t>
  </si>
  <si>
    <t>TC110011</t>
  </si>
  <si>
    <t>Menampilkan list item pada field "Select City" berupa daftar Kota pada State atau Provinsi yang dipilih</t>
  </si>
  <si>
    <t>TC110012</t>
  </si>
  <si>
    <t>Pada halaman registrasi, ketika menekan button text "Read Detail", maka akan menampilkan Pop-Up berupa "Terms and Condition" dari web tersebut</t>
  </si>
  <si>
    <t>1. Menekan text button "Read Detail"</t>
  </si>
  <si>
    <t>Menampilkan Pop-Up berupa "Terms and Condition" yang berisi Syarat dan Ketentuan dari web tersebut</t>
  </si>
  <si>
    <t>1. email : ""
2. username : "yayas"
3. password : "p455w0rd"
4. re-password : "p455w0rd"
5. gender : "male"</t>
  </si>
  <si>
    <t>Terdapat alert berupa "Fill out this field! This field should not be empty" pada field email</t>
  </si>
  <si>
    <t>TC110013</t>
  </si>
  <si>
    <t>Ketika berada pada halaman registrasi, jika mengisi semua field mandatory kecuali field "username", maka ditampilkan alert berupa "Fill out this field! This field should not be empty" pada field username</t>
  </si>
  <si>
    <t>TC110014</t>
  </si>
  <si>
    <t>1. email : "belumterdaftar@gmail.com"
2. username : "yayas"
3. password : ""
4. re-password : "p455w0rd"
5. gender : "male"</t>
  </si>
  <si>
    <t>1. email : "belumterdaftar@gmail.com"
2. username : "yayas"
3. password : "p455w0rd"
4. re-password : ""
5. gender : "male"</t>
  </si>
  <si>
    <t>TC110015</t>
  </si>
  <si>
    <t>TC110016</t>
  </si>
  <si>
    <t>1. email : "belumterdaftar@gmail.com"
2. username : "yayas"
3. password : "p455w0rd"
4. re-password : "p455w0rd"
5. gender : ""</t>
  </si>
  <si>
    <t>TC110017</t>
  </si>
  <si>
    <t>1. Mengisi semua field mandatory dengan Test Data</t>
  </si>
  <si>
    <t>Terdapat alert berupa "Fill out this field! This field should not be empty" pada field "I agree with terms and conditions"</t>
  </si>
  <si>
    <t>Ketika berada pada halaman registrasi, jika mengisi semua field mandatory kecuali field "gender", maka ditampilkan alert berupa "Select an item in the list” pada field gender</t>
  </si>
  <si>
    <t>Terdapat alert berupa "Select an item in the list” pada field gender</t>
  </si>
  <si>
    <t>TC110018</t>
  </si>
  <si>
    <t>Pada halaman registrasi, setelah mengisi data secara lengkap, kemudian menekan tombol "Sign Up", maka user berhasil melakukan registrasi user baru, data dari user akan tersimpan di database, kemudian user diarahkan ke halaman Login</t>
  </si>
  <si>
    <t>Data user baru tersimpan ke database, kemudian user diarahkan ke halaman login</t>
  </si>
  <si>
    <t>TC110019</t>
  </si>
  <si>
    <t>Pada halaman registrasi, ketika field Country terisi dengan Negara tertentu, field Select State kosong, kemudian mencoba mengisi filed Select City, maka item list yang ditampilkan berupa "Select City"</t>
  </si>
  <si>
    <t>Pada halaman registrasi, ketika field Country terisi dengan Negara tertentu field Select State terisi dengan State atau Provinsi tertentu, kemudian mencoba mengisi filed Select State, maka item list yang ditampilkan berupa daftar Kota pada State atau Provinsi yang dipilih</t>
  </si>
  <si>
    <t>Pada halaman registrasi, ketika field Country kosong, field Select State kosong, kemudian mencoba mengisi filed Select City, maka item list yang ditampilkan hanya berupa "Select City"</t>
  </si>
  <si>
    <t>TC120001</t>
  </si>
  <si>
    <t>Masuk ke halaman Login</t>
  </si>
  <si>
    <t>1. Menekan tab Login</t>
  </si>
  <si>
    <t>TC120002</t>
  </si>
  <si>
    <t>Melakukan Login dengan username dan password yang terdaftar di system</t>
  </si>
  <si>
    <t>1. username : "usernameTerdaftar"
2. password : "p455ww0rdT3rd4ft4r"</t>
  </si>
  <si>
    <t>1. Mengisi field username dan password sesuai Test Data
2. Menekan tombol Login</t>
  </si>
  <si>
    <t>TC120003</t>
  </si>
  <si>
    <t>Melakukan Login dengan username dan password yang tidak terdaftar di system</t>
  </si>
  <si>
    <t>TC120004</t>
  </si>
  <si>
    <t>Melakukan Login dengan username yang tidak terdaftar dan password yang terdaftar di system</t>
  </si>
  <si>
    <t>Melakukan Login dengan username yang terdaftar dan password yang tidak terdaftar di system</t>
  </si>
  <si>
    <t>TC120005</t>
  </si>
  <si>
    <t>Menampilkan alert berupa "Invalid username/Password" dan User tidak bisa masuk ke halaman Profil</t>
  </si>
  <si>
    <t>TC120006</t>
  </si>
  <si>
    <t>Melakukan Login dengan mengosongkan username dan mengisi password yang terdaftar di system</t>
  </si>
  <si>
    <t>Masuk ke halaman Login or Sign Up to start</t>
  </si>
  <si>
    <t>1. Buka Aplikasi Browser Google Chrome
2. Masukkan URL web TheTestingWorld.com</t>
  </si>
  <si>
    <t>TC120007</t>
  </si>
  <si>
    <t>Melakukan Login dengan mengosongkan password dan mengisi username yang terdaftar di system</t>
  </si>
  <si>
    <t>TC120008</t>
  </si>
  <si>
    <t>Melakukan Login dengan mengosongkan username dan password</t>
  </si>
  <si>
    <t>1. Menekan tombol Login</t>
  </si>
  <si>
    <t>Menampilkan alert berupa "Input the Username and Password first!" dan User tidak bisa masuk ke halaman Profil</t>
  </si>
  <si>
    <t>Login berhasil dan User diarahkan ke halaman Profil</t>
  </si>
  <si>
    <t>Masuk ke halaman "Login" dengan entity inputan:
1. Username
2. Password
Terdapat juga check box "keep me logged in" dan button Login</t>
  </si>
  <si>
    <t>TC120009</t>
  </si>
  <si>
    <t>Login setelah Login pertama kali dengan melakukan cheklist check box "keep me logged in" akan langsung diarahkan ke halaman profile</t>
  </si>
  <si>
    <t>1. Ketika Login untuk pertama kali, checklist checkbox "keep me logged in"
2. Tutup tab ataupun window yang sedang membuka web TheTestingWorld.com
3. TC110001</t>
  </si>
  <si>
    <t>User langsung diarahkan ke halaman profile</t>
  </si>
  <si>
    <t>TC120010</t>
  </si>
  <si>
    <t>Login setelah Login pertama kali tanpa melakukan cheklist check box "keep me logged in" akan melakukan proses Login lagi</t>
  </si>
  <si>
    <t>1. Tutup tab ataupun window yang sedang membuka web TheTestingWorld.com
3. TC120001</t>
  </si>
  <si>
    <t>User melakukan proses Login lagi</t>
  </si>
  <si>
    <t>Berhasil masuk ke halaman "Register" yang berisi entity inputan :
1.	User name
2.	Email
3.	Password
4.	Re-password
5.	Date of birth
6.	phone
7.	address
8.	Address type
9.	gender
10.	country
11.	state
12.	city
13.	zip code
14.	I agree with terms and conditions
15.	Read detail</t>
  </si>
  <si>
    <t>Ketika berada pada halaman registrasi, jika mengisi field mandatory kecuali field "email", maka ditampilkan alert berupa "Fill out this field" pada field email</t>
  </si>
  <si>
    <t>Ketika berada pada halaman registrasi, jika semua field mandatory terisi, kemudian menekan tombol "Sign Up", maka tidak ditampilkan alert apapun, dan user dapat melakukan proses registrasi</t>
  </si>
  <si>
    <t>Ketika berada pada halaman registrasi, kemudian mengisi field email dan username dengan email atau username yang belum terdaftar, maka berhasil melakukan proses Registrasi</t>
  </si>
  <si>
    <t>User berhasil melakukan proses registrasi dan ditampilkan text berupa "User is successfully Register. Now You can Login"</t>
  </si>
  <si>
    <t xml:space="preserve">Tidak berhasil melakukan proses register dan terdapat text berkaitan dengan ketidakberhasilan proses register </t>
  </si>
  <si>
    <t>User tidak berhasil melakukan proses registrasi dan ditampilkan text berupa "User / Email id not available. Please try another"</t>
  </si>
  <si>
    <t>Ketika berada pada halaman registrasi, kemudian mengisi field email dan username dengan email atau username yang sudah terdaftar, maka user tidak berhasil melakukan proses Registrasi</t>
  </si>
  <si>
    <t>1. email : "batch288204@xa.com"
2. username : "batch288204"
3. password : "123456789"
4. re-password : "123456789"
5. DoB : "1 April 2022"
6. Alamat : Jalan Bangau nomro 12
5. gender : "male"</t>
  </si>
  <si>
    <t>1. email : "batch288208@xa.com"
2. username : "batch288208"
3. password : "123456789"
4. re-password : "123456789"
5. gender : "male"</t>
  </si>
  <si>
    <t>Berhasil menampilkan hanya "Select State"</t>
  </si>
  <si>
    <t>Berhasil menampilkan list item pada field "Select State" berupa daftar State atau Provinsi pada Negara Indonesia</t>
  </si>
  <si>
    <t>Berhasil menampilkan hanya "Select City"</t>
  </si>
  <si>
    <t>1. Negara pada field "Country" dipilih "Indonesia"
2. State atau Provinsi pada field "Select State" dipilih "Yogyakarta"</t>
  </si>
  <si>
    <t>Berhasil menampilkan list item pada field "Select City" berupa daftar Kota pada Provinsi Yogyakarta</t>
  </si>
  <si>
    <t>Berhasi menampilkan Pop-Up berupa "Terms and Condition" yang berisi Syarat dan Ketentuan dari web tersebut</t>
  </si>
  <si>
    <t>Ketika berada pada halaman registrasi, jika mengisi semua field mandatory kecuali field "password", maka ditampilkan alert berupa "Fill out this field" pada field password</t>
  </si>
  <si>
    <t>Ketika berada pada halaman registrasi, jika mengisi semua field mandatory kecuali field "re-password", maka ditampilkan alert berupa "Fill out this field" pada field re-password</t>
  </si>
  <si>
    <t>Terdapat alert berupa "Fill out this field" pada field re-password</t>
  </si>
  <si>
    <t>Terdapat alert berupa "Fill out this field" pada field password</t>
  </si>
  <si>
    <t>Terdapat alert berupa "Fill out this field" pada field username</t>
  </si>
  <si>
    <t>Berhasil menampilkan alert berupa "Fill out this field" pada field password</t>
  </si>
  <si>
    <t>Berhasil menampilkan alert berupa "Fill out this field" pada field username</t>
  </si>
  <si>
    <t>Berhasil menampilkan alert berupa "Select an item in the list” pada field gender</t>
  </si>
  <si>
    <t>Ketika berada pada halaman registrasi, jika mengisi semua field mandatory kecuali field "I agree with terms and conditions", maka ditampilkan alert berupa "Fill out this field" pada field "I agree with terms and conditions"</t>
  </si>
  <si>
    <t>Berhasil menampilkan alert berupa "Fill out this field" pada field "I agree with terms and conditions"</t>
  </si>
  <si>
    <t>Berhasil menampilkan List Item hanya berupa "Select City"</t>
  </si>
  <si>
    <t>Masuk ke halaman Register</t>
  </si>
  <si>
    <t>1. Buka Aplikasi Browser Google Chrome
2. Masukkan URL web TheTestingWorld.com
3. Menekan tab Register</t>
  </si>
  <si>
    <t>Ketika masuk menggunakan URL, halaman langsung menampilkan tab Register tanpa mengklik tab Register</t>
  </si>
  <si>
    <t>Ketika masuk menggunakan URL, halaman langsung menampilkan tab Register</t>
  </si>
  <si>
    <t>1. username : "batch288203"
2. password : "123456789"</t>
  </si>
  <si>
    <t>Berhasil Login dan User diarahkan ke halaman Profil</t>
  </si>
  <si>
    <t>1. username : "batch288215"
2. password : "123456789"</t>
  </si>
  <si>
    <t>Berhasil menampilkan alert berupa "Invalid username/Password" dan User tidak bisa masuk ke halaman Profil</t>
  </si>
  <si>
    <t>1. username : "batch288203"
2. password : "12345"</t>
  </si>
  <si>
    <t>1. username : "batch288215"
2. password : "12345"</t>
  </si>
  <si>
    <t>1. username : ""
2. password : "123456789"</t>
  </si>
  <si>
    <t>Terdapat pesan pada field username berupa "Fill out this fill" dan user tidak berhasil Login</t>
  </si>
  <si>
    <t>Terdapat pesan pada field password berupa "Fill out this fill" dan user tidak berhasil Login</t>
  </si>
  <si>
    <t>Manual : User langsung diarahkan ke halaman profile
Katalon : Tidak berhasil</t>
  </si>
  <si>
    <t>Untuk test case ini, hanya dapat dilakukan pada testing manual. Untuk testing otomatis menggunakan Katalon Studio ketika menutup browser, semua langkah sebelumnya ter-rewrite</t>
  </si>
  <si>
    <t>1.4. Scenario</t>
  </si>
  <si>
    <t>TC130001</t>
  </si>
  <si>
    <t>Masuk ke halaman profile, dimana user yang dapat mengakses menu ini adalah user yang sesuai dengan loginnya.</t>
  </si>
  <si>
    <t>User masuk ke halaman profile, dimana profile yang ditampilkan sesuai dengan data loginnya.</t>
  </si>
  <si>
    <t>TC130002</t>
  </si>
  <si>
    <t>Pada halaman profile, ketika menekan tombol "view me", layar akan menampilkan data profile berupa popup.</t>
  </si>
  <si>
    <t>1. Menekan tombol "view me"</t>
  </si>
  <si>
    <t>Layar menampilkan data profile berupa popup.</t>
  </si>
  <si>
    <t>TC130003</t>
  </si>
  <si>
    <t>Pada halaman profile, layar menampilkan Username sesuai dengan inputan ketika Login, yang tidak dapat diedit</t>
  </si>
  <si>
    <t>1. Mengubah username</t>
  </si>
  <si>
    <t>Layar menampilkan Username sesuai dengan inputan ketika Login, dan Username tersebut tidak dapat diedit</t>
  </si>
  <si>
    <t>TC130004</t>
  </si>
  <si>
    <t>Pada halaman profile, layar menampilkan email sesuai dengan inputan ketika Registrasi, yang tidak dapat diedit</t>
  </si>
  <si>
    <t>1. Mengubah email</t>
  </si>
  <si>
    <t>Layar menampilkan email sesuai dengan inputan ketika Registrasi, yang tidak dapat diedit</t>
  </si>
  <si>
    <t>TC130005</t>
  </si>
  <si>
    <t>Pada halaman profile, layar menampilkan Password sesuai dengan inputan ketika Login, yang dapat diedit</t>
  </si>
  <si>
    <t>1. TC120009</t>
  </si>
  <si>
    <t>1. Mengubah password</t>
  </si>
  <si>
    <t>Layar menampilkan Password sesuai dengan inputan ketika Login, yang dapat diedit</t>
  </si>
  <si>
    <t>TC130006</t>
  </si>
  <si>
    <t>Pada halaman profile, layar menampilkan tanggal dengan format MM/DD/YYYY dan bisa diedit</t>
  </si>
  <si>
    <t>1. Mengubah date of birth</t>
  </si>
  <si>
    <t>Layar menampilkan tanggal dengan format MM/DD/YYYY dan bisa diedit</t>
  </si>
  <si>
    <t>TC130007</t>
  </si>
  <si>
    <t>Pada halaman profile, layar menampilkan nomer telephon yang hanya berupa angka dan bisa diedit, dimana nomor telephon menggunakan format awalan 62</t>
  </si>
  <si>
    <t>1. Mengubah nomor telephone</t>
  </si>
  <si>
    <t>Layar menampilkan nomer telephone yang hanya berupa angka dan bisa diedit, dimana nomor telephone menggunakan format awalan 62</t>
  </si>
  <si>
    <t>TC130008</t>
  </si>
  <si>
    <t>1. Mengubah gender</t>
  </si>
  <si>
    <t>Layar Menampilkan jenis kelamin berupa dropdown dengan data “Male” dan “Female” serta dapat diedit</t>
  </si>
  <si>
    <t>TC130009</t>
  </si>
  <si>
    <t>Pada halaman profile, layar menampilkan data “Home” dan “Office” serta dapat dipilih.</t>
  </si>
  <si>
    <t>1. Memilih pilihan "Home" atau "Office"</t>
  </si>
  <si>
    <t>Layar menampilkan data “Home” dan “Office” serta dapat dipilih.</t>
  </si>
  <si>
    <t>TC130010</t>
  </si>
  <si>
    <t>Layar menampilkan data negara berupa dropdown dan dapat diedit.</t>
  </si>
  <si>
    <t>1. Memilih option box "Negara"</t>
  </si>
  <si>
    <t>TC130011</t>
  </si>
  <si>
    <t>1. username : "batch288203"
2. password : "123456789"
3. negara : "Indonesia"</t>
  </si>
  <si>
    <t>1. Memilih option box "Negara" dengan "Indonesia"
2. Memilih option box "Select State"</t>
  </si>
  <si>
    <t>TC130012</t>
  </si>
  <si>
    <t>1. username : "batch288203"
2. password : "123456789"
3. negara : "Indonesia"
4. state : "Yogyakarta"</t>
  </si>
  <si>
    <t>1. Memilih option box "Negara" dengan "Indonesia"
2. Memilih option box "Select State" dengan "Yogyakarta"
3. Memilih option box "Select City"</t>
  </si>
  <si>
    <t>TC130013</t>
  </si>
  <si>
    <t>Pada halaman profile, ketika mencoba mengubah jenis kelamin, layar menampilkan jenis kelamin berupa dropdown dengan data “Male” dan “Female” serta dapat diedit</t>
  </si>
  <si>
    <t>Pada halaman profile, ketika mencoba memilih negara, layar menampilkan data negara berupa dropdown dan dapat diedit.</t>
  </si>
  <si>
    <t>Pada halaman profile, ketika mencoba mengubah alamat, layar menampilkan alamat dengan model memo / multiple line dan dapat diedit.</t>
  </si>
  <si>
    <t>1. Mengubah alamat pada field "Address"</t>
  </si>
  <si>
    <t>Layar menampilkan alamat dengan model memo / multiple line dan dapat diedit.</t>
  </si>
  <si>
    <t>Pada halaman profile, ketika mencoba mengubah Zip Code, layar menampilkan kode pos yang hanya berupa angka dan dapat diedit.</t>
  </si>
  <si>
    <t>1. Mengubah Zip Code</t>
  </si>
  <si>
    <t>Layar menampilkan kode pos yang hanya berupa angka dan dapat diedit.</t>
  </si>
  <si>
    <t>TC130014</t>
  </si>
  <si>
    <t>TC130015</t>
  </si>
  <si>
    <t>Pada halaman profile, ketika mencoba mengubah data profile, kemudian menekan tombol "Update Profile", maka data profile yang diubah akan tersimpan</t>
  </si>
  <si>
    <t>1. Mengisi data diri sesuai dengan Test Data
2. Memilih pilihan "Home"
3. Menekan tombol "Update Profile"</t>
  </si>
  <si>
    <t>Data profile terupdate dan tersimpan</t>
  </si>
  <si>
    <t>1. username : "batch288203"
2. password : "123456789"
3. DoB : "06/04/1999"</t>
  </si>
  <si>
    <t>1. username : "batch288203"
2. password : "123456789"
3. nomor telephone : "083122334455"</t>
  </si>
  <si>
    <t>1. username : "batch288203"
2. password : "123456789"
3. gender : "female"</t>
  </si>
  <si>
    <t>1. username : "batch288203"
2. password : "123456789"
3. negara : "malaysia"</t>
  </si>
  <si>
    <t>1. username : "batch288203"
2. password : "123456789"
3. negara : "Indonesia"
4. state : "Yogyakarta"
5. kota : "Sleman"</t>
  </si>
  <si>
    <t>1. username : "batch288203"
2. password : "123456789"
3. addresss : "Jalan panah nomor 4"</t>
  </si>
  <si>
    <t>TC130016</t>
  </si>
  <si>
    <t>Pada halaman profile, terdapat tombol "View Large" yang ketika diklik akan menampilkan jendela baru dan berisikan gambar profile.</t>
  </si>
  <si>
    <t>Menampilkan jendela baru yang berisikan gambar profile.</t>
  </si>
  <si>
    <t>TC130017</t>
  </si>
  <si>
    <t>1. Menekan tombol "Download"</t>
  </si>
  <si>
    <t>1. Menekan tombol "View Large"</t>
  </si>
  <si>
    <t>Pada halaman profile, terdapat tombol "Download" yang ketika diklik akan mendownload gambar profile.</t>
  </si>
  <si>
    <t>PC mendownload gambar profile</t>
  </si>
  <si>
    <t>TC130018</t>
  </si>
  <si>
    <t>Pada halaman profile, terdapat tombol "Choose File" yang ketika diklik akan menampilkan popup untuk memilih file berupa gambar (.jpg / .png / .img). Kemudian, setelah memilih akan menampilkan nama file yang dipilih.</t>
  </si>
  <si>
    <t>1. username : "batch288203"
2. password : "123456789"
3. file image : ".jpg / .png / .img"</t>
  </si>
  <si>
    <t>1. Menekan tombol "Choose FIle"
2. Memilih file image pada PC</t>
  </si>
  <si>
    <t>Setelah memilih file image  (.jpg / .png / .img), akan menampilkan nama file yang dipilih.</t>
  </si>
  <si>
    <t>TC130019</t>
  </si>
  <si>
    <t>Pada halaman profile, setelah memilih file image, kemudian menekan tombol "Upload" akan mengupload file dan gambar akan tampil.</t>
  </si>
  <si>
    <t>1. Menekan tombol "Upload"</t>
  </si>
  <si>
    <t>Sistem mengupload file yang dipilih dan gambar akan tampil.</t>
  </si>
  <si>
    <t>TC130020</t>
  </si>
  <si>
    <t>Menampilkan halaman profile dengan attribute:
1. View Me
2. Username
3. Email
4. Password
5. Date of Birth
6. Phone
7. Gender
8. Type of Address
9. Country
10. State
11. City
12. Address
13. Zip Code
14. Update Profile
15. View Large
16. Download
17. Choose File
18. Upload</t>
  </si>
  <si>
    <t>Pada halaman profile, ketika mencoba memilih kota, layar menampilkan data kota berupa dropdown berdasarkan state yang dipilih dan dapat diedit.</t>
  </si>
  <si>
    <t>Layar menampilkan data kota berupa dropdown berdasarkan state yang dipilih dan dapat diedit.</t>
  </si>
  <si>
    <t>TC130021</t>
  </si>
  <si>
    <t>Pada halaman profile, ketika mencoba memilih kota, jika state tidak dipilih maka data yang muncul adalah “Select City”</t>
  </si>
  <si>
    <t>1. Memilih option box "Negara" dengan "Indonesia"
2. Memilih option box "Select City"</t>
  </si>
  <si>
    <t>Memunculkan data kota hanya berupa “Select City”</t>
  </si>
  <si>
    <t>TC130022</t>
  </si>
  <si>
    <t>Pada halaman profile, ketika mencoba memilih kota, jika country tidak dipilih dan state tidak dipilih maka data yang muncul adalah “Select City”</t>
  </si>
  <si>
    <t>1. Memilih option box "Select City"</t>
  </si>
  <si>
    <t>TC130023</t>
  </si>
  <si>
    <t>Pada halaman profile, ketika mencoba memilih state, layar menampilkan data state berupa dropdown berdasarkan negara yang dipilih dan dapat diedit.</t>
  </si>
  <si>
    <t>Layar menampilkan data state berupa dropdown berdasarkan negara yang dipilih dan dapat diedit.</t>
  </si>
  <si>
    <t>Pada halaman profile, ketika mencoba memilih state, jika country tidak dipilih, maka data yang muncul adalah “Select State”.</t>
  </si>
  <si>
    <t>1. Memilih option box "Select State"</t>
  </si>
  <si>
    <t>Memunculkan data state hanya berupa “Select State”.</t>
  </si>
  <si>
    <t>TC130024</t>
  </si>
  <si>
    <t>Pada halaman profile, layar menampilkan nomer telephone yang hanya berupa angka dan bisa diedit, dimana nomor telephon menggunakan format awalan 62. Kemudian mengedit nomor telephone menggunakan format awalan 08.</t>
  </si>
  <si>
    <t>1. username : "batch288203"
2. password : "123456789"
3. nomor telephone : "6283122334455"</t>
  </si>
  <si>
    <t>Setelah mengedit nomor telephone menggunakan format awalan 08, menampilkan nomer telephone yang hanya berupa angka menggunakan format awalan 62</t>
  </si>
  <si>
    <t>TC130025</t>
  </si>
  <si>
    <t>Pada halaman profile, layar menampilkan nomer telephone yang hanya berupa angka dan bisa diedit, dimana nomor telephon menggunakan format awalan 62. Kemudian mengedit nomor telephone dengan karakter selain angka.</t>
  </si>
  <si>
    <t>1. username : "batch288203"
2. password : "123456789"
3. nomor telephone : "gvge%@hkjGGSq"</t>
  </si>
  <si>
    <t>Setelah mengedit nomor telephone dengan karakter selain angka, perubahan tidak akan tersimpan dan menampilkan nomer telephone yang hanya berupa angka menggunakan format awalan 62</t>
  </si>
  <si>
    <t>TC130026</t>
  </si>
  <si>
    <t>Pada halaman profile, layar menampilkan data “Home” dan “Office” serta dapat dipilih. Kemudian memilih kedua option tersebut</t>
  </si>
  <si>
    <t>1. Memilih kedua pilihan "Home" dan "Office"</t>
  </si>
  <si>
    <t>Tidak dapat memilih kedua pilihan. Hanya bisa memilih 1 pilihan, yaitu "Home" atau "Office"</t>
  </si>
  <si>
    <t>TC130027</t>
  </si>
  <si>
    <t>Pada halaman profile, ketika mencoba mengubah alamat, layar menampilkan alamat dengan model memo / multiple line dan dapat diedit. Kemudian mengedit alamat secara random</t>
  </si>
  <si>
    <t>1. username : "batch288203"
2. password : "123456789"
3. address : "Jhy7t&amp;^ye 37y3 UYGDH e7yebd"</t>
  </si>
  <si>
    <t>Tidak dapat menyimpan alamat terbaru, karena alamat tidak valid</t>
  </si>
  <si>
    <t>TC130028</t>
  </si>
  <si>
    <t>TC130029</t>
  </si>
  <si>
    <t>Pada halaman profile layar menampilkan kode pos yang hanya berupa angka dan dapat diedit, ketika mencoba mengubah Zip Code dengan karakter selain angka, sistem menolak format tersebut.</t>
  </si>
  <si>
    <t>1. username : "batch288203"
2. password : "123456789"
3. zip code : "H4h4H3he!"</t>
  </si>
  <si>
    <t>Format Zip Code salah, dan Zip Code tidak berhasil diedit</t>
  </si>
  <si>
    <t>1. username : "batch288203"
2. password : "123456789"
3. zip code : "55288"</t>
  </si>
  <si>
    <t>Pada halaman profile layar menampilkan kode pos yang hanya berupa angka dan dapat diedit, ketika mencoba mengubah Zip Code dengan Zip Code yang tidak terdaftar, sistem menolak format tersebut.</t>
  </si>
  <si>
    <t>1. username : "batch288203"
2. password : "123456789"
3. zip code : "123456789"</t>
  </si>
  <si>
    <t>TC130030</t>
  </si>
  <si>
    <t>Pada halaman profile, ketika mencoba mengubah data profile, kemudian menutup tab atau browser yang sedang digunakan untuk edit profile, maka data profile yang diubah tidak akan tersimpan</t>
  </si>
  <si>
    <t>1. Mengisi data diri sesuai dengan Test Data
2. Memilih pilihan "Home"
3. Menutup tab / brower yang sedang digunakan untuk edit profile
4. Masuk / Login kembali dengan akun yang sama</t>
  </si>
  <si>
    <t>Data profile tidak terupdate dan tersimpan</t>
  </si>
  <si>
    <t>TC130031</t>
  </si>
  <si>
    <t>Pada halaman profile, terdapat tombol "Choose File" yang ketika diklik akan menampilkan popup untuk memilih file berupa gambar (.jpg / .png / .img). Kemudian, mencoba memilih file tidak sesuai format seperti .mp3, .mkv, ataupun .txt tidak akan menampilkan nama file yang dipilih, karena format tidak sesuai</t>
  </si>
  <si>
    <t>1. username : "batch288203"
2. password : "123456789"
3. file : ".mp3 / .mkv / .txt"</t>
  </si>
  <si>
    <t>1. Menekan tombol "Choose FIle"
2. Memilih file bukan image pada PC</t>
  </si>
  <si>
    <t>Setelah memilih file bukan image  (.mp3 / .mkv / .txt), tidak akan menampilkan nama file yang dipilih, karena format tidak sesuai</t>
  </si>
  <si>
    <t>TC130032</t>
  </si>
  <si>
    <t>Sistem gagal mengupload file yang dipilih karena format tidak sesuai.</t>
  </si>
  <si>
    <t>Pada halaman profile, ditampilkan atribute berupa data user dengan field yang dapat diubah</t>
  </si>
  <si>
    <t>TC140001</t>
  </si>
  <si>
    <t>Seorang user baru mencoba untuk melakukan proses Registrasi, kemudian ingin mengupdate datanya setelah berhasil registrasi</t>
  </si>
  <si>
    <t>1. username : "batch288203"
2. password : "12345"
3. negara : "Indonesia"
4. state : "Yogyakarta"
5. city : "Sleman"
6. DoB : "3 April 2022"
7. Alamat : Jalan Elang nomor 12
8. gender : "male"
9. zip code : "55288"</t>
  </si>
  <si>
    <t>1. username : "batch288203"
2. password : "12345"
3. negara : "Indonesia"
4. state : "Yogyakarta"
5. city : "Sleman"
6. DoB : "3 April 2022"
7. Alamat : Jalan Elang nomor 12
8. gender : "male"
9. zip code : "93556"</t>
  </si>
  <si>
    <t xml:space="preserve">1. Masuk ke halaman registrasi
2. Semua field mandatory pada halaman registrasi dapat diisi
3. Check box "I Agree with Terms and Conditions" dapat dicheck list
4. Tombol "Sign Up" dapat diklik
5. User baru berhasil melakukan proses registrasi
6. Tab "Login" dapat diklik dan ketika diklik menampilkan tab "Login" itu sendiri yang berisi atribute Username, Password, Check Box "Keep Me Logged In", dan tombol Login
7. Field Username dan Password dapat diisi 
8. Tombol "Login" dapat diklik
9. User berhasil melakukan proses Login
10. User diarahkan ke halaman profile
11. Semua field yang kosong data diisi dengan data sesuai dengan data ketika ingi update data pada Test Data
12. Tombol "Update Profile" dapat diklik
13. Data terbaru user berhasil diupdate </t>
  </si>
  <si>
    <t>TC140002</t>
  </si>
  <si>
    <t>Seorang user baru mencoba untuk melakukan proses Registrasi dengan data yang valid, kemudian ingin mengupdate datanya dengan data random setelah berhasil registrasi</t>
  </si>
  <si>
    <t>Data saat registrasi :
1. email : "batch288221@xa.com"
2. username : "batch288221"
3. password : "123456789"
4. re-password : "123456789"
5. gender : "male"
Ketika ingin update data : 
1. password : "H4haH3heH1hi!"
2. negara : "Indonesia"
3. state : "Yogyakarta"
4. city : "Sleman"
5. DoB : "3 April 2022"
6. Alamat : kjndjf diuhdu skjnds
7. gender : "male"
8. zip code : "123Uid"</t>
  </si>
  <si>
    <t>Data saat registrasi :
1. email : "batch288220@xa.com"
2. username : "batch288220"
3. password : "123456789"
4. re-password : "123456789"
5. gender : "male"
Ketika ingin update data : 
1. password : "12345"
2. negara : "Indonesia"
3. state : "Yogyakarta"
4. city : "Sleman"
5. DoB : "3 April 2022"
6. Alamat : Jalan Elang nomor 12
7. gender : "male"
8. zip code : "55288"
9. nomor telephone : "0dfj848833q2"</t>
  </si>
  <si>
    <t>1. Masuk ke halaman registrasi
2. Semua field mandatory pada halaman registrasi dapat diisi
3. Check box "I Agree with Terms and Conditions" dapat dicheck list
4. Tombol "Sign Up" dapat diklik
5. User baru berhasil melakukan proses registrasi
6. Tab "Login" dapat diklik dan ketika diklik menampilkan tab "Login" itu sendiri yang berisi atribute Username, Password, Check Box "Keep Me Logged In", dan tombol Login
7. Field Username dan Password dapat diisi 
8. Tombol "Login" dapat diklik
9. User berhasil melakukan proses Login
10. User diarahkan ke halaman profile
11. Semua field yang kosong data diisi dengan data sesuai dengan data ketika ingi update data pada Test Data
12. Tombol "Update Profile" dapat diklik
13. Data terbaru user tidak berhasil diupdate, karena terdapat format yang salah dalam pengisian data</t>
  </si>
  <si>
    <t>1. Mengisi semua field mandatory pada halaman registrasi sesuai dengan Test Data
2. Checklist check box "I agree with Terms and Conditions"
3. Menekan tombol "Sign Up"
4. Berhasil melakukan Registrasi
5. Menekan tab "Login"
6. Melakukan proses Login dengan Username dan password sesuai data saat Registrasi
7. Menekan tombol "Login"
8. Berhasil melakukan proses Login
9. User diarahkan menuju halaman Profile
10. Mengisi semua field yang kosong sesuai dengan data ketika ingin update data pada Test Data
11. Menekan tombol "Update Profile" 
Berdasarkan TC yang sudah ada :
1. TC110007
2. TC120002
3. TC130015</t>
  </si>
  <si>
    <t>Layar menampilkan nomer telephone yang hanya berupa angka dan bisa diedit. Tetapi format nomor telephone tidak menggunakan awalan 628, melainkan 08</t>
  </si>
  <si>
    <t>Berhasil masuk ke halaman profile, dimana profile yang ditampilkan sesuai dengan data loginnya.</t>
  </si>
  <si>
    <t>Berhasil menampilkan Username sesuai dengan inputan ketika Login, dan Username tersebut tidak dapat diedit</t>
  </si>
  <si>
    <t>Berhasil menampilkan Password sesuai dengan inputan ketika Login, yang dapat diedit</t>
  </si>
  <si>
    <t>Berhasil menampilkan email sesuai dengan inputan ketika Registrasi, yang tidak dapat diedit</t>
  </si>
  <si>
    <t>Berhasil menampilkan tanggal dengan format MM/DD/YYYY dan bisa diedit</t>
  </si>
  <si>
    <t>Berhasil Menampilkan jenis kelamin berupa dropdown dengan data “Male” dan “Female” serta dapat diedit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</si>
</sst>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dd\-mmm\-yyyy\ hh\:mm"/>
    <numFmt numFmtId="166" formatCode="dd\ mmm\ yy"/>
  </numFmts>
  <fonts count="20">
    <font>
      <sz val="12"/>
      <color theme="1"/>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sz val="10"/>
      <color theme="1"/>
      <name val="Arial"/>
      <family val="2"/>
    </font>
    <font>
      <sz val="10"/>
      <color theme="1"/>
      <name val="Calibri"/>
      <family val="2"/>
      <scheme val="minor"/>
    </font>
    <font>
      <sz val="12"/>
      <color theme="8" tint="0.79998168889431442"/>
      <name val="Arial"/>
      <family val="2"/>
    </font>
    <font>
      <b/>
      <sz val="15"/>
      <color theme="3"/>
      <name val="ArialMT"/>
      <family val="2"/>
    </font>
    <font>
      <b/>
      <sz val="11"/>
      <color theme="0"/>
      <name val="ArialMT"/>
      <family val="2"/>
    </font>
    <font>
      <sz val="10"/>
      <color theme="1"/>
      <name val="ArialMT"/>
      <family val="2"/>
    </font>
    <font>
      <sz val="11"/>
      <color rgb="FF000000"/>
      <name val="Arial"/>
      <family val="2"/>
    </font>
    <font>
      <sz val="11"/>
      <color theme="1"/>
      <name val="Arial"/>
      <family val="2"/>
    </font>
    <font>
      <sz val="11"/>
      <color rgb="FF375623"/>
      <name val="ArialMT"/>
    </font>
    <font>
      <sz val="11"/>
      <color rgb="FF003300"/>
      <name val="Arial"/>
      <family val="2"/>
    </font>
    <font>
      <b/>
      <sz val="11"/>
      <color theme="0"/>
      <name val="Arial"/>
      <family val="2"/>
    </font>
  </fonts>
  <fills count="6">
    <fill>
      <patternFill patternType="none"/>
    </fill>
    <fill>
      <patternFill patternType="gray125"/>
    </fill>
    <fill>
      <patternFill patternType="solid">
        <fgColor theme="6" tint="0.79998168889431442"/>
        <bgColor indexed="64"/>
      </patternFill>
    </fill>
    <fill>
      <patternFill patternType="solid">
        <fgColor theme="8"/>
        <bgColor theme="8"/>
      </patternFill>
    </fill>
    <fill>
      <patternFill patternType="solid">
        <fgColor theme="0"/>
        <bgColor indexed="64"/>
      </patternFill>
    </fill>
    <fill>
      <patternFill patternType="solid">
        <fgColor theme="8" tint="0.79998168889431442"/>
        <bgColor indexed="64"/>
      </patternFill>
    </fill>
  </fills>
  <borders count="6">
    <border>
      <left/>
      <right/>
      <top/>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
      <left/>
      <right/>
      <top/>
      <bottom style="thick">
        <color theme="4"/>
      </bottom>
      <diagonal/>
    </border>
    <border>
      <left/>
      <right/>
      <top style="thin">
        <color indexed="64"/>
      </top>
      <bottom style="thin">
        <color theme="8" tint="0.39997558519241921"/>
      </bottom>
      <diagonal/>
    </border>
  </borders>
  <cellStyleXfs count="4">
    <xf numFmtId="0" fontId="0" fillId="0" borderId="0"/>
    <xf numFmtId="0" fontId="3" fillId="0" borderId="1" applyNumberFormat="0" applyFill="0" applyAlignment="0" applyProtection="0"/>
    <xf numFmtId="0" fontId="4" fillId="0" borderId="2" applyNumberFormat="0" applyFill="0" applyAlignment="0" applyProtection="0"/>
    <xf numFmtId="0" fontId="12" fillId="0" borderId="4" applyNumberFormat="0" applyFill="0" applyAlignment="0" applyProtection="0"/>
  </cellStyleXfs>
  <cellXfs count="46">
    <xf numFmtId="0" fontId="0" fillId="0" borderId="0" xfId="0"/>
    <xf numFmtId="0" fontId="0" fillId="0" borderId="0" xfId="0" applyAlignment="1">
      <alignment wrapText="1"/>
    </xf>
    <xf numFmtId="0" fontId="0" fillId="0" borderId="0" xfId="0" applyAlignment="1">
      <alignment horizontal="center"/>
    </xf>
    <xf numFmtId="0" fontId="5" fillId="0" borderId="0" xfId="0" applyFont="1"/>
    <xf numFmtId="0" fontId="5" fillId="0" borderId="0" xfId="0" applyNumberFormat="1" applyFont="1"/>
    <xf numFmtId="0" fontId="7" fillId="0" borderId="0" xfId="0" applyFont="1"/>
    <xf numFmtId="0" fontId="8" fillId="0" borderId="0" xfId="0" applyFont="1" applyAlignment="1">
      <alignment vertical="top"/>
    </xf>
    <xf numFmtId="0" fontId="8" fillId="0" borderId="0" xfId="0" applyFont="1" applyAlignment="1">
      <alignment vertical="top" wrapText="1"/>
    </xf>
    <xf numFmtId="14" fontId="8" fillId="0" borderId="0" xfId="0" applyNumberFormat="1" applyFont="1" applyAlignment="1">
      <alignment vertical="top" wrapText="1"/>
    </xf>
    <xf numFmtId="0" fontId="8" fillId="0" borderId="0" xfId="0" applyFont="1" applyAlignment="1">
      <alignment horizontal="center" vertical="top" wrapText="1"/>
    </xf>
    <xf numFmtId="14" fontId="7" fillId="0" borderId="0" xfId="0" applyNumberFormat="1" applyFont="1" applyAlignment="1">
      <alignment horizontal="left" vertical="center"/>
    </xf>
    <xf numFmtId="0" fontId="7" fillId="0" borderId="0" xfId="0" applyFont="1" applyAlignment="1">
      <alignment horizontal="left" vertical="top"/>
    </xf>
    <xf numFmtId="0" fontId="9" fillId="0" borderId="0" xfId="0" applyFont="1"/>
    <xf numFmtId="0" fontId="10" fillId="0" borderId="0" xfId="0" applyFont="1"/>
    <xf numFmtId="0" fontId="11" fillId="2" borderId="0" xfId="0" applyFont="1" applyFill="1"/>
    <xf numFmtId="0" fontId="11" fillId="0" borderId="0" xfId="0" applyFont="1" applyFill="1"/>
    <xf numFmtId="0" fontId="5" fillId="0" borderId="0" xfId="0" applyFont="1" applyFill="1"/>
    <xf numFmtId="0" fontId="13" fillId="3" borderId="5" xfId="0" applyFont="1" applyFill="1" applyBorder="1" applyAlignment="1">
      <alignment horizontal="center" vertical="center" wrapText="1"/>
    </xf>
    <xf numFmtId="0" fontId="6" fillId="0" borderId="0" xfId="0" applyFont="1" applyFill="1" applyBorder="1" applyAlignment="1">
      <alignment horizontal="left" vertical="top" wrapText="1"/>
    </xf>
    <xf numFmtId="0" fontId="7" fillId="0" borderId="0" xfId="0" applyFont="1" applyFill="1"/>
    <xf numFmtId="0" fontId="6" fillId="0" borderId="0" xfId="0" applyFont="1" applyFill="1" applyBorder="1" applyAlignment="1">
      <alignment horizontal="center" vertical="top"/>
    </xf>
    <xf numFmtId="0" fontId="6" fillId="0" borderId="0" xfId="0" applyFont="1" applyFill="1" applyBorder="1" applyAlignment="1">
      <alignment horizontal="left" vertical="top"/>
    </xf>
    <xf numFmtId="164" fontId="6" fillId="0" borderId="0" xfId="0" applyNumberFormat="1" applyFont="1" applyFill="1" applyBorder="1" applyAlignment="1">
      <alignment horizontal="left" vertical="top"/>
    </xf>
    <xf numFmtId="165" fontId="6" fillId="0" borderId="0" xfId="0" applyNumberFormat="1" applyFont="1" applyFill="1" applyBorder="1" applyAlignment="1">
      <alignment horizontal="left" vertical="top"/>
    </xf>
    <xf numFmtId="0" fontId="14" fillId="0" borderId="0" xfId="0" applyFont="1" applyAlignment="1">
      <alignment horizontal="center" vertical="center" wrapText="1"/>
    </xf>
    <xf numFmtId="0" fontId="8" fillId="0" borderId="0" xfId="2" applyFont="1" applyFill="1" applyBorder="1" applyAlignment="1">
      <alignment horizontal="left" vertical="top"/>
    </xf>
    <xf numFmtId="166" fontId="8" fillId="0" borderId="0" xfId="2" applyNumberFormat="1" applyFont="1" applyFill="1" applyBorder="1" applyAlignment="1">
      <alignment horizontal="left" vertical="top"/>
    </xf>
    <xf numFmtId="0" fontId="8" fillId="0" borderId="0" xfId="3" applyFont="1" applyFill="1" applyBorder="1" applyAlignment="1">
      <alignment horizontal="left" vertical="top"/>
    </xf>
    <xf numFmtId="0" fontId="16" fillId="0" borderId="0" xfId="0" applyFont="1"/>
    <xf numFmtId="0" fontId="16" fillId="0" borderId="0" xfId="0" applyNumberFormat="1" applyFont="1"/>
    <xf numFmtId="0" fontId="19" fillId="0" borderId="1" xfId="1" applyFont="1" applyAlignment="1">
      <alignment horizontal="center" vertical="center"/>
    </xf>
    <xf numFmtId="0" fontId="19" fillId="0" borderId="1" xfId="1" applyFont="1" applyFill="1" applyAlignment="1">
      <alignment horizontal="center" vertical="center"/>
    </xf>
    <xf numFmtId="0" fontId="16" fillId="0" borderId="0" xfId="0" applyFont="1" applyAlignment="1">
      <alignment horizontal="center" vertical="center"/>
    </xf>
    <xf numFmtId="0" fontId="19" fillId="0" borderId="1" xfId="1" applyFont="1" applyFill="1" applyBorder="1" applyAlignment="1">
      <alignment horizontal="center" vertical="center" wrapText="1"/>
    </xf>
    <xf numFmtId="0" fontId="16" fillId="0" borderId="0" xfId="0" applyFont="1" applyAlignment="1">
      <alignment horizontal="center"/>
    </xf>
    <xf numFmtId="0" fontId="16" fillId="0" borderId="3" xfId="0" applyFont="1" applyBorder="1"/>
    <xf numFmtId="0" fontId="16" fillId="0" borderId="3" xfId="0" applyFont="1" applyBorder="1" applyAlignment="1">
      <alignment horizontal="center"/>
    </xf>
    <xf numFmtId="0" fontId="15" fillId="0" borderId="3" xfId="0" applyFont="1" applyBorder="1"/>
    <xf numFmtId="0" fontId="15" fillId="0" borderId="3" xfId="0" applyFont="1" applyBorder="1" applyAlignment="1">
      <alignment horizontal="center"/>
    </xf>
    <xf numFmtId="0" fontId="16" fillId="0" borderId="0" xfId="0" applyNumberFormat="1" applyFont="1" applyAlignment="1">
      <alignment horizontal="center"/>
    </xf>
    <xf numFmtId="0" fontId="6" fillId="4" borderId="0" xfId="0" applyFont="1" applyFill="1" applyBorder="1" applyAlignment="1">
      <alignment horizontal="left" vertical="top"/>
    </xf>
    <xf numFmtId="0" fontId="6" fillId="5" borderId="0" xfId="0" applyFont="1" applyFill="1" applyBorder="1" applyAlignment="1">
      <alignment horizontal="left" vertical="top"/>
    </xf>
    <xf numFmtId="164" fontId="6" fillId="0" borderId="0" xfId="0" applyNumberFormat="1" applyFont="1" applyFill="1" applyBorder="1" applyAlignment="1">
      <alignment horizontal="left" vertical="top" wrapText="1"/>
    </xf>
    <xf numFmtId="0" fontId="6" fillId="0" borderId="0" xfId="0" applyFont="1" applyFill="1" applyAlignment="1">
      <alignment horizontal="left" vertical="top" wrapText="1"/>
    </xf>
    <xf numFmtId="0" fontId="6" fillId="0" borderId="0" xfId="0" applyFont="1" applyFill="1" applyAlignment="1">
      <alignment vertical="top" wrapText="1"/>
    </xf>
    <xf numFmtId="0" fontId="9" fillId="0" borderId="0" xfId="0" applyFont="1" applyAlignment="1">
      <alignment vertical="top" wrapText="1"/>
    </xf>
  </cellXfs>
  <cellStyles count="4">
    <cellStyle name="Heading 1" xfId="3" builtinId="16"/>
    <cellStyle name="Heading 2" xfId="1" builtinId="17"/>
    <cellStyle name="Heading 3" xfId="2" builtinId="18"/>
    <cellStyle name="Normal" xfId="0" builtinId="0"/>
  </cellStyles>
  <dxfs count="48">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outline val="0"/>
        <shadow val="0"/>
        <u val="none"/>
        <vertAlign val="baseline"/>
        <sz val="10"/>
        <color theme="2" tint="-0.89999084444715716"/>
        <name val="Arial"/>
        <family val="2"/>
        <scheme val="none"/>
      </font>
      <fill>
        <patternFill patternType="none">
          <fgColor indexed="64"/>
          <bgColor auto="1"/>
        </patternFill>
      </fill>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center" vertical="top" textRotation="0" wrapText="0" indent="0" justifyLastLine="0" shrinkToFit="0" readingOrder="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border outline="0">
        <bottom style="thick">
          <color theme="4" tint="0.499984740745262"/>
        </bottom>
      </border>
    </dxf>
    <dxf>
      <font>
        <b/>
        <i val="0"/>
        <strike val="0"/>
        <condense val="0"/>
        <extend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DF4C26"/>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44</c:v>
                </c:pt>
                <c:pt idx="1">
                  <c:v>21</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27</c:v>
                </c:pt>
                <c:pt idx="1">
                  <c:v>6</c:v>
                </c:pt>
                <c:pt idx="2">
                  <c:v>3</c:v>
                </c:pt>
                <c:pt idx="3">
                  <c:v>29</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Dashboard!$B$34:$B$37</c:f>
              <c:strCache>
                <c:ptCount val="4"/>
                <c:pt idx="0">
                  <c:v>1.1. Register</c:v>
                </c:pt>
                <c:pt idx="1">
                  <c:v>1.2. Login</c:v>
                </c:pt>
                <c:pt idx="2">
                  <c:v>1.3. Profile</c:v>
                </c:pt>
                <c:pt idx="3">
                  <c:v>1.4. Scenario</c:v>
                </c:pt>
              </c:strCache>
            </c:strRef>
          </c:cat>
          <c:val>
            <c:numRef>
              <c:f>Dashboard!$C$34:$C$37</c:f>
              <c:numCache>
                <c:formatCode>General</c:formatCode>
                <c:ptCount val="4"/>
                <c:pt idx="0">
                  <c:v>20</c:v>
                </c:pt>
                <c:pt idx="1">
                  <c:v>11</c:v>
                </c:pt>
                <c:pt idx="2">
                  <c:v>32</c:v>
                </c:pt>
                <c:pt idx="3">
                  <c:v>2</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12856</xdr:colOff>
      <xdr:row>0</xdr:row>
      <xdr:rowOff>59691</xdr:rowOff>
    </xdr:from>
    <xdr:to>
      <xdr:col>10</xdr:col>
      <xdr:colOff>317500</xdr:colOff>
      <xdr:row>30</xdr:row>
      <xdr:rowOff>190500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50801</xdr:colOff>
      <xdr:row>0</xdr:row>
      <xdr:rowOff>57151</xdr:rowOff>
    </xdr:from>
    <xdr:to>
      <xdr:col>6</xdr:col>
      <xdr:colOff>342900</xdr:colOff>
      <xdr:row>30</xdr:row>
      <xdr:rowOff>190500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38100</xdr:rowOff>
        </xdr:from>
        <xdr:to>
          <xdr:col>1</xdr:col>
          <xdr:colOff>1280160</xdr:colOff>
          <xdr:row>8</xdr:row>
          <xdr:rowOff>137160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D" sz="11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1508760</xdr:colOff>
          <xdr:row>7</xdr:row>
          <xdr:rowOff>38100</xdr:rowOff>
        </xdr:from>
        <xdr:to>
          <xdr:col>2</xdr:col>
          <xdr:colOff>632460</xdr:colOff>
          <xdr:row>8</xdr:row>
          <xdr:rowOff>137160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D" sz="1100" b="0" i="0" u="none" strike="noStrike" baseline="0">
                  <a:solidFill>
                    <a:srgbClr val="375623"/>
                  </a:solidFill>
                  <a:latin typeface="ArialMT"/>
                </a:rPr>
                <a:t>Delete Last Record</a:t>
              </a:r>
            </a:p>
          </xdr:txBody>
        </xdr:sp>
        <xdr:clientData fPrintsWithSheet="0"/>
      </xdr:twoCellAnchor>
    </mc:Choice>
    <mc:Fallback/>
  </mc:AlternateContent>
  <xdr:twoCellAnchor>
    <xdr:from>
      <xdr:col>0</xdr:col>
      <xdr:colOff>0</xdr:colOff>
      <xdr:row>0</xdr:row>
      <xdr:rowOff>0</xdr:rowOff>
    </xdr:from>
    <xdr:to>
      <xdr:col>6</xdr:col>
      <xdr:colOff>1661160</xdr:colOff>
      <xdr:row>7</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0" y="0"/>
          <a:ext cx="6780007" cy="1192306"/>
          <a:chOff x="0" y="0"/>
          <a:chExt cx="5575301" cy="1130300"/>
        </a:xfrm>
      </xdr:grpSpPr>
      <xdr:sp macro="" textlink="">
        <xdr:nvSpPr>
          <xdr:cNvPr id="18" name="Rectangle 17">
            <a:extLst>
              <a:ext uri="{FF2B5EF4-FFF2-40B4-BE49-F238E27FC236}">
                <a16:creationId xmlns:a16="http://schemas.microsoft.com/office/drawing/2014/main" id="{00000000-0008-0000-0100-000012000000}"/>
              </a:ext>
            </a:extLst>
          </xdr:cNvPr>
          <xdr:cNvSpPr/>
        </xdr:nvSpPr>
        <xdr:spPr>
          <a:xfrm>
            <a:off x="1" y="0"/>
            <a:ext cx="5575300" cy="1130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100-000013000000}"/>
              </a:ext>
            </a:extLst>
          </xdr:cNvPr>
          <xdr:cNvSpPr>
            <a:spLocks/>
          </xdr:cNvSpPr>
        </xdr:nvSpPr>
        <xdr:spPr>
          <a:xfrm>
            <a:off x="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Project Name</a:t>
            </a:r>
          </a:p>
        </xdr:txBody>
      </xdr:sp>
      <xdr:sp macro="" textlink="">
        <xdr:nvSpPr>
          <xdr:cNvPr id="20" name="Rectangle 19">
            <a:extLst>
              <a:ext uri="{FF2B5EF4-FFF2-40B4-BE49-F238E27FC236}">
                <a16:creationId xmlns:a16="http://schemas.microsoft.com/office/drawing/2014/main" id="{00000000-0008-0000-0100-000014000000}"/>
              </a:ext>
            </a:extLst>
          </xdr:cNvPr>
          <xdr:cNvSpPr/>
        </xdr:nvSpPr>
        <xdr:spPr>
          <a:xfrm>
            <a:off x="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TheTestingWorld.com</a:t>
            </a:r>
          </a:p>
        </xdr:txBody>
      </xdr:sp>
      <xdr:sp macro="" textlink="">
        <xdr:nvSpPr>
          <xdr:cNvPr id="21" name="Rectangle 20">
            <a:extLst>
              <a:ext uri="{FF2B5EF4-FFF2-40B4-BE49-F238E27FC236}">
                <a16:creationId xmlns:a16="http://schemas.microsoft.com/office/drawing/2014/main" id="{00000000-0008-0000-0100-000015000000}"/>
              </a:ext>
            </a:extLst>
          </xdr:cNvPr>
          <xdr:cNvSpPr>
            <a:spLocks/>
          </xdr:cNvSpPr>
        </xdr:nvSpPr>
        <xdr:spPr>
          <a:xfrm>
            <a:off x="254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Start</a:t>
            </a:r>
            <a:r>
              <a:rPr lang="en-US" sz="1600" baseline="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 Date</a:t>
            </a:r>
            <a:endPar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sp macro="" textlink="">
        <xdr:nvSpPr>
          <xdr:cNvPr id="22" name="Rectangle 21">
            <a:extLst>
              <a:ext uri="{FF2B5EF4-FFF2-40B4-BE49-F238E27FC236}">
                <a16:creationId xmlns:a16="http://schemas.microsoft.com/office/drawing/2014/main" id="{00000000-0008-0000-0100-000016000000}"/>
              </a:ext>
            </a:extLst>
          </xdr:cNvPr>
          <xdr:cNvSpPr/>
        </xdr:nvSpPr>
        <xdr:spPr>
          <a:xfrm>
            <a:off x="254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27 April 2022</a:t>
            </a:r>
          </a:p>
        </xdr:txBody>
      </xdr:sp>
      <xdr:sp macro="" textlink="">
        <xdr:nvSpPr>
          <xdr:cNvPr id="23" name="Rectangle 22">
            <a:extLst>
              <a:ext uri="{FF2B5EF4-FFF2-40B4-BE49-F238E27FC236}">
                <a16:creationId xmlns:a16="http://schemas.microsoft.com/office/drawing/2014/main" id="{00000000-0008-0000-0100-000017000000}"/>
              </a:ext>
            </a:extLst>
          </xdr:cNvPr>
          <xdr:cNvSpPr>
            <a:spLocks/>
          </xdr:cNvSpPr>
        </xdr:nvSpPr>
        <xdr:spPr>
          <a:xfrm>
            <a:off x="281940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Base URL</a:t>
            </a:r>
          </a:p>
        </xdr:txBody>
      </xdr:sp>
      <xdr:sp macro="" textlink="">
        <xdr:nvSpPr>
          <xdr:cNvPr id="24" name="Rectangle 23">
            <a:extLst>
              <a:ext uri="{FF2B5EF4-FFF2-40B4-BE49-F238E27FC236}">
                <a16:creationId xmlns:a16="http://schemas.microsoft.com/office/drawing/2014/main" id="{00000000-0008-0000-0100-000018000000}"/>
              </a:ext>
            </a:extLst>
          </xdr:cNvPr>
          <xdr:cNvSpPr/>
        </xdr:nvSpPr>
        <xdr:spPr>
          <a:xfrm>
            <a:off x="281940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https://www.thetestingworld.com/testings/</a:t>
            </a:r>
          </a:p>
        </xdr:txBody>
      </xdr:sp>
      <xdr:sp macro="" textlink="">
        <xdr:nvSpPr>
          <xdr:cNvPr id="25" name="Rectangle 24">
            <a:extLst>
              <a:ext uri="{FF2B5EF4-FFF2-40B4-BE49-F238E27FC236}">
                <a16:creationId xmlns:a16="http://schemas.microsoft.com/office/drawing/2014/main" id="{00000000-0008-0000-0100-000019000000}"/>
              </a:ext>
            </a:extLst>
          </xdr:cNvPr>
          <xdr:cNvSpPr>
            <a:spLocks/>
          </xdr:cNvSpPr>
        </xdr:nvSpPr>
        <xdr:spPr>
          <a:xfrm>
            <a:off x="28321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End date</a:t>
            </a:r>
          </a:p>
        </xdr:txBody>
      </xdr:sp>
      <xdr:sp macro="" textlink="">
        <xdr:nvSpPr>
          <xdr:cNvPr id="26" name="Rectangle 25">
            <a:extLst>
              <a:ext uri="{FF2B5EF4-FFF2-40B4-BE49-F238E27FC236}">
                <a16:creationId xmlns:a16="http://schemas.microsoft.com/office/drawing/2014/main" id="{00000000-0008-0000-0100-00001A000000}"/>
              </a:ext>
            </a:extLst>
          </xdr:cNvPr>
          <xdr:cNvSpPr/>
        </xdr:nvSpPr>
        <xdr:spPr>
          <a:xfrm>
            <a:off x="28321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27 April 2022</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47" dataDxfId="46" headerRowCellStyle="Heading 2">
  <autoFilter ref="H33:I37" xr:uid="{39B49D68-9E8A-D34A-B9C6-E6ABF7ECF4E2}"/>
  <tableColumns count="2">
    <tableColumn id="1" xr3:uid="{567DBF3E-6AAB-F44B-A620-2B81C9A6B114}" name="STATUS" dataDxfId="45"/>
    <tableColumn id="2" xr3:uid="{00650F91-5404-F04C-9013-56844C846874}" name="TOTAL" dataDxfId="44">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Q36" totalsRowShown="0" headerRowDxfId="43" dataDxfId="41" headerRowBorderDxfId="42" headerRowCellStyle="Heading 2">
  <autoFilter ref="N33:Q36" xr:uid="{E7F708E7-6029-1341-8251-DF3DDDFF7B00}"/>
  <tableColumns count="4">
    <tableColumn id="1" xr3:uid="{440FA0DB-848F-9F48-9EDE-A92BB70EB242}" name="PIC" dataDxfId="40"/>
    <tableColumn id="2" xr3:uid="{BCFB4232-A96D-B74B-ADE9-74DE4F804D8D}" name="TOTAL_x000a_(Programmer)" dataDxfId="39">
      <calculatedColumnFormula>COUNTIF(Table_test_case[PIC],TablePic[[#This Row],[PIC]])</calculatedColumnFormula>
    </tableColumn>
    <tableColumn id="3" xr3:uid="{D6ACB6D1-1B68-FB43-B671-B4F0F6AF5E43}" name="TOTAL_x000a_(Created)" dataDxfId="38">
      <calculatedColumnFormula>COUNTIF(Table_test_case[CREATED
BY],TablePic[[#This Row],[PIC]])</calculatedColumnFormula>
    </tableColumn>
    <tableColumn id="4" xr3:uid="{0655C577-1DE7-A64E-A666-B7C43E2AC971}" name="TOTAL_x000a_(Executor)" dataDxfId="37">
      <calculatedColumnFormula>COUNTIF(Table_test_case[EXECUTED
BY],TablePic[[#This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36" dataDxfId="35" headerRowCellStyle="Heading 2">
  <autoFilter ref="K33:L37" xr:uid="{7A78BE29-BD42-E94C-B75E-07BC3539C64B}"/>
  <tableColumns count="2">
    <tableColumn id="1" xr3:uid="{3FBAF980-B046-1744-A68E-80FA60193677}" name="PRIORITY " dataDxfId="34"/>
    <tableColumn id="2" xr3:uid="{20CF8267-20CB-2447-B0EE-04CA0FFEC084}" name="TOTAL" dataDxfId="33">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32" dataDxfId="31" headerRowCellStyle="Heading 2">
  <autoFilter ref="E33:F35" xr:uid="{12B34AFC-8443-7646-A5FF-38B643D476A1}"/>
  <tableColumns count="2">
    <tableColumn id="1" xr3:uid="{E4B2D535-AD93-2241-822E-9CF430ABB581}" name="TYPE TEST" dataDxfId="30"/>
    <tableColumn id="2" xr3:uid="{B2FCB4DD-51A8-1548-8514-2F1B2803A7E8}" name="TOTAL" dataDxfId="29">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37" totalsRowShown="0" headerRowDxfId="28" dataDxfId="27" headerRowCellStyle="Heading 2">
  <autoFilter ref="B33:C37" xr:uid="{6C7EEE0D-7F76-2040-BCB4-250854C8F0F0}"/>
  <tableColumns count="2">
    <tableColumn id="2" xr3:uid="{715B60B1-67E3-3D45-A8B0-02B0A787B3D7}" name="PAGE" dataDxfId="26"/>
    <tableColumn id="3" xr3:uid="{A956E912-A71F-0145-AD97-1B193CC99877}" name="TOTAL" dataDxfId="25">
      <calculatedColumnFormula>COUNTIF(Table_test_case[FUNGTION],TablePage[[#This Row],[PAGE]])</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10:S75" totalsRowShown="0" headerRowDxfId="23" dataDxfId="21" headerRowBorderDxfId="22" tableBorderDxfId="20" totalsRowBorderDxfId="19" headerRowCellStyle="Heading 3">
  <autoFilter ref="A10:S75" xr:uid="{00000000-000C-0000-FFFF-FFFF00000000}"/>
  <tableColumns count="19">
    <tableColumn id="1" xr3:uid="{00000000-0010-0000-0000-000001000000}" name="NO." dataDxfId="18">
      <calculatedColumnFormula>A10+1</calculatedColumnFormula>
    </tableColumn>
    <tableColumn id="2" xr3:uid="{00000000-0010-0000-0000-000002000000}" name="FUNGTION" dataDxfId="17"/>
    <tableColumn id="3" xr3:uid="{00000000-0010-0000-0000-000003000000}" name="TEST_x000a_CASE_x000a_ID" dataDxfId="16"/>
    <tableColumn id="17" xr3:uid="{00000000-0010-0000-0000-000011000000}" name="TEST TYPE" dataDxfId="15"/>
    <tableColumn id="22" xr3:uid="{00000000-0010-0000-0000-000016000000}" name="STATUS" dataDxfId="14"/>
    <tableColumn id="6" xr3:uid="{00000000-0010-0000-0000-000006000000}" name=" " dataDxfId="13"/>
    <tableColumn id="19" xr3:uid="{00000000-0010-0000-0000-000013000000}" name="DESCRIPTION" dataDxfId="12"/>
    <tableColumn id="18" xr3:uid="{00000000-0010-0000-0000-000012000000}" name="PREREQUISITES" dataDxfId="11"/>
    <tableColumn id="11" xr3:uid="{9AB612CD-71BC-BB42-81FC-2E43B928187C}" name="TEST DATA" dataDxfId="10"/>
    <tableColumn id="7" xr3:uid="{00000000-0010-0000-0000-000007000000}" name="TEST STEPS" dataDxfId="9"/>
    <tableColumn id="8" xr3:uid="{00000000-0010-0000-0000-000008000000}" name="EXPECTED RESULT" dataDxfId="8"/>
    <tableColumn id="9" xr3:uid="{00000000-0010-0000-0000-000009000000}" name="ACTUAL RESULT" dataDxfId="7"/>
    <tableColumn id="16" xr3:uid="{00000000-0010-0000-0000-000010000000}" name="NOTES" dataDxfId="6"/>
    <tableColumn id="5" xr3:uid="{AF37849C-47CF-1D42-9803-BA046E03AA35}" name="PRIORITY" dataDxfId="5"/>
    <tableColumn id="4" xr3:uid="{7D50DCE3-CDE0-D540-AD1E-7BD0F9C19C2B}" name="PIC" dataDxfId="4"/>
    <tableColumn id="12" xr3:uid="{00000000-0010-0000-0000-00000C000000}" name="CREATED_x000a_BY" dataDxfId="3"/>
    <tableColumn id="13" xr3:uid="{00000000-0010-0000-0000-00000D000000}" name="CREATED_x000a_ON" dataDxfId="2"/>
    <tableColumn id="14" xr3:uid="{00000000-0010-0000-0000-00000E000000}" name="EXECUTED_x000a_BY" dataDxfId="1"/>
    <tableColumn id="15" xr3:uid="{00000000-0010-0000-0000-00000F000000}" name="EXECUTED_x000a_ON"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Q41"/>
  <sheetViews>
    <sheetView showGridLines="0" topLeftCell="A9" zoomScale="70" zoomScaleNormal="70" workbookViewId="0">
      <selection activeCell="B38" sqref="B38"/>
    </sheetView>
  </sheetViews>
  <sheetFormatPr defaultColWidth="10.69921875" defaultRowHeight="15"/>
  <cols>
    <col min="1" max="1" width="1.19921875" style="3" customWidth="1"/>
    <col min="2" max="2" width="35.69921875" style="3" customWidth="1"/>
    <col min="3" max="3" width="12.69921875" style="3" customWidth="1"/>
    <col min="4" max="4" width="5.19921875" style="3" customWidth="1"/>
    <col min="5" max="5" width="21.19921875" style="3" customWidth="1"/>
    <col min="6" max="6" width="12.69921875" style="3" customWidth="1"/>
    <col min="7" max="7" width="5.19921875" style="3" customWidth="1"/>
    <col min="8" max="8" width="21.19921875" style="3" customWidth="1"/>
    <col min="9" max="9" width="12.69921875" style="3" customWidth="1"/>
    <col min="10" max="10" width="5.19921875" style="3" customWidth="1"/>
    <col min="11" max="11" width="21.19921875" style="3" customWidth="1"/>
    <col min="12" max="12" width="12.69921875" style="3" customWidth="1"/>
    <col min="13" max="13" width="5.19921875" style="3" customWidth="1"/>
    <col min="14" max="14" width="21.19921875" style="3" customWidth="1"/>
    <col min="15" max="17" width="15" style="3" customWidth="1"/>
    <col min="18" max="18" width="16.5" style="3" bestFit="1" customWidth="1"/>
    <col min="19" max="19" width="22" style="3" bestFit="1" customWidth="1"/>
    <col min="20" max="16384" width="10.69921875" style="3"/>
  </cols>
  <sheetData>
    <row r="1" spans="1:16" ht="6" customHeight="1">
      <c r="A1" s="14"/>
      <c r="B1" s="14"/>
      <c r="C1" s="14"/>
      <c r="D1" s="14"/>
      <c r="E1" s="14"/>
      <c r="F1" s="14"/>
      <c r="G1" s="14"/>
      <c r="H1" s="14"/>
      <c r="I1" s="14"/>
      <c r="J1" s="14"/>
      <c r="K1" s="14"/>
      <c r="L1" s="14"/>
      <c r="M1" s="14"/>
      <c r="N1" s="14"/>
      <c r="O1" s="14"/>
      <c r="P1" s="15"/>
    </row>
    <row r="2" spans="1:16">
      <c r="A2" s="14"/>
      <c r="B2" s="14"/>
      <c r="C2" s="14"/>
      <c r="D2" s="14"/>
      <c r="E2" s="14"/>
      <c r="F2" s="14"/>
      <c r="G2" s="14"/>
      <c r="H2" s="14"/>
      <c r="I2" s="14"/>
      <c r="J2" s="14"/>
      <c r="K2" s="14"/>
      <c r="L2" s="14"/>
      <c r="M2" s="14"/>
      <c r="N2" s="14"/>
      <c r="O2" s="14"/>
      <c r="P2" s="15"/>
    </row>
    <row r="3" spans="1:16">
      <c r="A3" s="14"/>
      <c r="B3" s="14"/>
      <c r="C3" s="14"/>
      <c r="D3" s="14"/>
      <c r="E3" s="14"/>
      <c r="F3" s="14"/>
      <c r="G3" s="14"/>
      <c r="H3" s="14"/>
      <c r="I3" s="14"/>
      <c r="J3" s="14"/>
      <c r="K3" s="14"/>
      <c r="L3" s="14"/>
      <c r="M3" s="14"/>
      <c r="N3" s="14"/>
      <c r="O3" s="14"/>
      <c r="P3" s="15"/>
    </row>
    <row r="4" spans="1:16">
      <c r="A4" s="14"/>
      <c r="B4" s="14"/>
      <c r="C4" s="14"/>
      <c r="D4" s="14"/>
      <c r="E4" s="14"/>
      <c r="F4" s="14"/>
      <c r="G4" s="14"/>
      <c r="H4" s="14"/>
      <c r="I4" s="14"/>
      <c r="J4" s="14"/>
      <c r="K4" s="14"/>
      <c r="L4" s="14"/>
      <c r="M4" s="14"/>
      <c r="N4" s="14"/>
      <c r="O4" s="14"/>
      <c r="P4" s="15"/>
    </row>
    <row r="5" spans="1:16">
      <c r="A5" s="14"/>
      <c r="B5" s="14"/>
      <c r="C5" s="14"/>
      <c r="D5" s="14"/>
      <c r="E5" s="14"/>
      <c r="F5" s="14"/>
      <c r="G5" s="14"/>
      <c r="H5" s="14"/>
      <c r="I5" s="14"/>
      <c r="J5" s="14"/>
      <c r="K5" s="14"/>
      <c r="L5" s="14"/>
      <c r="M5" s="14"/>
      <c r="N5" s="14"/>
      <c r="O5" s="14"/>
      <c r="P5" s="15"/>
    </row>
    <row r="6" spans="1:16">
      <c r="A6" s="14"/>
      <c r="B6" s="14"/>
      <c r="C6" s="14"/>
      <c r="D6" s="14"/>
      <c r="E6" s="14"/>
      <c r="F6" s="14"/>
      <c r="G6" s="14"/>
      <c r="H6" s="14"/>
      <c r="I6" s="14"/>
      <c r="J6" s="14"/>
      <c r="K6" s="14"/>
      <c r="L6" s="14"/>
      <c r="M6" s="14"/>
      <c r="N6" s="14"/>
      <c r="O6" s="14"/>
      <c r="P6" s="15"/>
    </row>
    <row r="7" spans="1:16">
      <c r="A7" s="14"/>
      <c r="B7" s="14"/>
      <c r="C7" s="14"/>
      <c r="D7" s="14"/>
      <c r="E7" s="14"/>
      <c r="F7" s="14"/>
      <c r="G7" s="14"/>
      <c r="H7" s="14"/>
      <c r="I7" s="14"/>
      <c r="J7" s="14"/>
      <c r="K7" s="14"/>
      <c r="L7" s="14"/>
      <c r="M7" s="14"/>
      <c r="N7" s="14"/>
      <c r="O7" s="14"/>
      <c r="P7" s="15"/>
    </row>
    <row r="8" spans="1:16">
      <c r="A8" s="14"/>
      <c r="B8" s="14"/>
      <c r="C8" s="14"/>
      <c r="D8" s="14"/>
      <c r="E8" s="14"/>
      <c r="F8" s="14"/>
      <c r="G8" s="14"/>
      <c r="H8" s="14"/>
      <c r="I8" s="14"/>
      <c r="J8" s="14"/>
      <c r="K8" s="14"/>
      <c r="L8" s="14"/>
      <c r="M8" s="14"/>
      <c r="N8" s="14"/>
      <c r="O8" s="14"/>
      <c r="P8" s="15"/>
    </row>
    <row r="9" spans="1:16">
      <c r="A9" s="14"/>
      <c r="B9" s="14"/>
      <c r="C9" s="14"/>
      <c r="D9" s="14"/>
      <c r="E9" s="14"/>
      <c r="F9" s="14"/>
      <c r="G9" s="14"/>
      <c r="H9" s="14"/>
      <c r="I9" s="14"/>
      <c r="J9" s="14"/>
      <c r="K9" s="14"/>
      <c r="L9" s="14"/>
      <c r="M9" s="14"/>
      <c r="N9" s="14"/>
      <c r="O9" s="14"/>
      <c r="P9" s="15"/>
    </row>
    <row r="10" spans="1:16">
      <c r="A10" s="14"/>
      <c r="B10" s="14"/>
      <c r="C10" s="14"/>
      <c r="D10" s="14"/>
      <c r="E10" s="14"/>
      <c r="F10" s="14"/>
      <c r="G10" s="14"/>
      <c r="H10" s="14"/>
      <c r="I10" s="14"/>
      <c r="J10" s="14"/>
      <c r="K10" s="14"/>
      <c r="L10" s="14"/>
      <c r="M10" s="14"/>
      <c r="N10" s="14"/>
      <c r="O10" s="14"/>
      <c r="P10" s="15"/>
    </row>
    <row r="11" spans="1:16">
      <c r="A11" s="14"/>
      <c r="B11" s="14"/>
      <c r="C11" s="14"/>
      <c r="D11" s="14"/>
      <c r="E11" s="14"/>
      <c r="F11" s="14"/>
      <c r="G11" s="14"/>
      <c r="H11" s="14"/>
      <c r="I11" s="14"/>
      <c r="J11" s="14"/>
      <c r="K11" s="14"/>
      <c r="L11" s="14"/>
      <c r="M11" s="14"/>
      <c r="N11" s="14"/>
      <c r="O11" s="14"/>
      <c r="P11" s="15"/>
    </row>
    <row r="12" spans="1:16">
      <c r="A12" s="14"/>
      <c r="B12" s="14"/>
      <c r="C12" s="14"/>
      <c r="D12" s="14"/>
      <c r="E12" s="14"/>
      <c r="F12" s="14"/>
      <c r="G12" s="14"/>
      <c r="H12" s="14"/>
      <c r="I12" s="14"/>
      <c r="J12" s="14"/>
      <c r="K12" s="14"/>
      <c r="L12" s="14"/>
      <c r="M12" s="14"/>
      <c r="N12" s="14"/>
      <c r="O12" s="14"/>
      <c r="P12" s="15"/>
    </row>
    <row r="13" spans="1:16">
      <c r="A13" s="14"/>
      <c r="B13" s="14"/>
      <c r="C13" s="14"/>
      <c r="D13" s="14"/>
      <c r="E13" s="14"/>
      <c r="F13" s="14"/>
      <c r="G13" s="14"/>
      <c r="H13" s="14"/>
      <c r="I13" s="14"/>
      <c r="J13" s="14"/>
      <c r="K13" s="14"/>
      <c r="L13" s="14"/>
      <c r="M13" s="14"/>
      <c r="N13" s="14"/>
      <c r="O13" s="14"/>
      <c r="P13" s="15"/>
    </row>
    <row r="14" spans="1:16">
      <c r="A14" s="14"/>
      <c r="B14" s="14"/>
      <c r="C14" s="14"/>
      <c r="D14" s="14"/>
      <c r="E14" s="14"/>
      <c r="F14" s="14"/>
      <c r="G14" s="14"/>
      <c r="H14" s="14"/>
      <c r="I14" s="14"/>
      <c r="J14" s="14"/>
      <c r="K14" s="14"/>
      <c r="L14" s="14"/>
      <c r="M14" s="14"/>
      <c r="N14" s="14"/>
      <c r="O14" s="14"/>
      <c r="P14" s="15"/>
    </row>
    <row r="15" spans="1:16">
      <c r="A15" s="14"/>
      <c r="B15" s="14"/>
      <c r="C15" s="14"/>
      <c r="D15" s="14"/>
      <c r="E15" s="14"/>
      <c r="F15" s="14"/>
      <c r="G15" s="14"/>
      <c r="H15" s="14"/>
      <c r="I15" s="14"/>
      <c r="J15" s="14"/>
      <c r="K15" s="14"/>
      <c r="L15" s="14"/>
      <c r="M15" s="14"/>
      <c r="N15" s="14"/>
      <c r="O15" s="14"/>
      <c r="P15" s="15"/>
    </row>
    <row r="16" spans="1:16">
      <c r="A16" s="14"/>
      <c r="B16" s="14"/>
      <c r="C16" s="14"/>
      <c r="D16" s="14"/>
      <c r="E16" s="14"/>
      <c r="F16" s="14"/>
      <c r="G16" s="14"/>
      <c r="H16" s="14"/>
      <c r="I16" s="14"/>
      <c r="J16" s="14"/>
      <c r="K16" s="14"/>
      <c r="L16" s="14"/>
      <c r="M16" s="14"/>
      <c r="N16" s="14"/>
      <c r="O16" s="14"/>
      <c r="P16" s="15"/>
    </row>
    <row r="17" spans="1:16">
      <c r="A17" s="14"/>
      <c r="B17" s="14"/>
      <c r="C17" s="14"/>
      <c r="D17" s="14"/>
      <c r="E17" s="14"/>
      <c r="F17" s="14"/>
      <c r="G17" s="14"/>
      <c r="H17" s="14"/>
      <c r="I17" s="14"/>
      <c r="J17" s="14"/>
      <c r="K17" s="14"/>
      <c r="L17" s="14"/>
      <c r="M17" s="14"/>
      <c r="N17" s="14"/>
      <c r="O17" s="14"/>
      <c r="P17" s="15"/>
    </row>
    <row r="18" spans="1:16">
      <c r="A18" s="14"/>
      <c r="B18" s="14"/>
      <c r="C18" s="14"/>
      <c r="D18" s="14"/>
      <c r="E18" s="14"/>
      <c r="F18" s="14"/>
      <c r="G18" s="14"/>
      <c r="H18" s="14"/>
      <c r="I18" s="14"/>
      <c r="J18" s="14"/>
      <c r="K18" s="14"/>
      <c r="L18" s="14"/>
      <c r="M18" s="14"/>
      <c r="N18" s="14"/>
      <c r="O18" s="14"/>
      <c r="P18" s="15"/>
    </row>
    <row r="19" spans="1:16">
      <c r="A19" s="14"/>
      <c r="B19" s="14"/>
      <c r="C19" s="14"/>
      <c r="D19" s="14"/>
      <c r="E19" s="14"/>
      <c r="F19" s="14"/>
      <c r="G19" s="14"/>
      <c r="H19" s="14"/>
      <c r="I19" s="14"/>
      <c r="J19" s="14"/>
      <c r="K19" s="14"/>
      <c r="L19" s="14"/>
      <c r="M19" s="14"/>
      <c r="N19" s="14"/>
      <c r="O19" s="14"/>
      <c r="P19" s="15"/>
    </row>
    <row r="20" spans="1:16">
      <c r="A20" s="14"/>
      <c r="B20" s="14"/>
      <c r="C20" s="14"/>
      <c r="D20" s="14"/>
      <c r="E20" s="14"/>
      <c r="F20" s="14"/>
      <c r="G20" s="14"/>
      <c r="H20" s="14"/>
      <c r="I20" s="14"/>
      <c r="J20" s="14"/>
      <c r="K20" s="14"/>
      <c r="L20" s="14"/>
      <c r="M20" s="14"/>
      <c r="N20" s="14"/>
      <c r="O20" s="14"/>
      <c r="P20" s="15"/>
    </row>
    <row r="21" spans="1:16">
      <c r="A21" s="14"/>
      <c r="B21" s="14"/>
      <c r="C21" s="14"/>
      <c r="D21" s="14"/>
      <c r="E21" s="14"/>
      <c r="F21" s="14"/>
      <c r="G21" s="14"/>
      <c r="H21" s="14"/>
      <c r="I21" s="14"/>
      <c r="J21" s="14"/>
      <c r="K21" s="14"/>
      <c r="L21" s="14"/>
      <c r="M21" s="14"/>
      <c r="N21" s="14"/>
      <c r="O21" s="14"/>
      <c r="P21" s="15"/>
    </row>
    <row r="22" spans="1:16">
      <c r="A22" s="14"/>
      <c r="B22" s="14"/>
      <c r="C22" s="14"/>
      <c r="D22" s="14"/>
      <c r="E22" s="14"/>
      <c r="F22" s="14"/>
      <c r="G22" s="14"/>
      <c r="H22" s="14"/>
      <c r="I22" s="14"/>
      <c r="J22" s="14"/>
      <c r="K22" s="14"/>
      <c r="L22" s="14"/>
      <c r="M22" s="14"/>
      <c r="N22" s="14"/>
      <c r="O22" s="14"/>
      <c r="P22" s="15"/>
    </row>
    <row r="23" spans="1:16">
      <c r="A23" s="14"/>
      <c r="B23" s="14"/>
      <c r="C23" s="14"/>
      <c r="D23" s="14"/>
      <c r="E23" s="14"/>
      <c r="F23" s="14"/>
      <c r="G23" s="14"/>
      <c r="H23" s="14"/>
      <c r="I23" s="14"/>
      <c r="J23" s="14"/>
      <c r="K23" s="14"/>
      <c r="L23" s="14"/>
      <c r="M23" s="14"/>
      <c r="N23" s="14"/>
      <c r="O23" s="14"/>
      <c r="P23" s="15"/>
    </row>
    <row r="24" spans="1:16">
      <c r="A24" s="14"/>
      <c r="B24" s="14"/>
      <c r="C24" s="14"/>
      <c r="D24" s="14"/>
      <c r="E24" s="14"/>
      <c r="F24" s="14"/>
      <c r="G24" s="14"/>
      <c r="H24" s="14"/>
      <c r="I24" s="14"/>
      <c r="J24" s="14"/>
      <c r="K24" s="14"/>
      <c r="L24" s="14"/>
      <c r="M24" s="14"/>
      <c r="N24" s="14"/>
      <c r="O24" s="14"/>
      <c r="P24" s="15"/>
    </row>
    <row r="25" spans="1:16">
      <c r="A25" s="14"/>
      <c r="B25" s="14"/>
      <c r="C25" s="14"/>
      <c r="D25" s="14"/>
      <c r="E25" s="14"/>
      <c r="F25" s="14"/>
      <c r="G25" s="14"/>
      <c r="H25" s="14"/>
      <c r="I25" s="14"/>
      <c r="J25" s="14"/>
      <c r="K25" s="14"/>
      <c r="L25" s="14"/>
      <c r="M25" s="14"/>
      <c r="N25" s="14"/>
      <c r="O25" s="14"/>
      <c r="P25" s="15"/>
    </row>
    <row r="26" spans="1:16">
      <c r="A26" s="14"/>
      <c r="B26" s="14"/>
      <c r="C26" s="14"/>
      <c r="D26" s="14"/>
      <c r="E26" s="14"/>
      <c r="F26" s="14"/>
      <c r="G26" s="14"/>
      <c r="H26" s="14"/>
      <c r="I26" s="14"/>
      <c r="J26" s="14"/>
      <c r="K26" s="14"/>
      <c r="L26" s="14"/>
      <c r="M26" s="14"/>
      <c r="N26" s="14"/>
      <c r="O26" s="14"/>
      <c r="P26" s="15"/>
    </row>
    <row r="27" spans="1:16">
      <c r="A27" s="14"/>
      <c r="B27" s="14"/>
      <c r="C27" s="14"/>
      <c r="D27" s="14"/>
      <c r="E27" s="14"/>
      <c r="F27" s="14"/>
      <c r="G27" s="14"/>
      <c r="H27" s="14"/>
      <c r="I27" s="14"/>
      <c r="J27" s="14"/>
      <c r="K27" s="14"/>
      <c r="L27" s="14"/>
      <c r="M27" s="14"/>
      <c r="N27" s="14"/>
      <c r="O27" s="14"/>
      <c r="P27" s="15"/>
    </row>
    <row r="28" spans="1:16" ht="16.2" customHeight="1">
      <c r="A28" s="14"/>
      <c r="B28" s="14"/>
      <c r="C28" s="14"/>
      <c r="D28" s="14"/>
      <c r="E28" s="14"/>
      <c r="F28" s="14"/>
      <c r="G28" s="14"/>
      <c r="H28" s="14"/>
      <c r="I28" s="14"/>
      <c r="J28" s="14"/>
      <c r="K28" s="14"/>
      <c r="L28" s="14"/>
      <c r="M28" s="14"/>
      <c r="N28" s="14"/>
      <c r="O28" s="14"/>
      <c r="P28" s="15"/>
    </row>
    <row r="29" spans="1:16" ht="16.2" customHeight="1">
      <c r="A29" s="14"/>
      <c r="B29" s="14"/>
      <c r="C29" s="14"/>
      <c r="D29" s="14"/>
      <c r="E29" s="14"/>
      <c r="F29" s="14"/>
      <c r="G29" s="14"/>
      <c r="H29" s="14"/>
      <c r="I29" s="14"/>
      <c r="J29" s="14"/>
      <c r="K29" s="14"/>
      <c r="L29" s="14"/>
      <c r="M29" s="14"/>
      <c r="N29" s="14"/>
      <c r="O29" s="14"/>
      <c r="P29" s="15"/>
    </row>
    <row r="30" spans="1:16" ht="16.2" customHeight="1">
      <c r="A30" s="14"/>
      <c r="B30" s="14"/>
      <c r="C30" s="14"/>
      <c r="D30" s="14"/>
      <c r="E30" s="14"/>
      <c r="F30" s="14"/>
      <c r="G30" s="14"/>
      <c r="H30" s="14"/>
      <c r="I30" s="14"/>
      <c r="J30" s="14"/>
      <c r="K30" s="14"/>
      <c r="L30" s="14"/>
      <c r="M30" s="14"/>
      <c r="N30" s="14"/>
      <c r="O30" s="14"/>
      <c r="P30" s="15"/>
    </row>
    <row r="31" spans="1:16" ht="16.2" customHeight="1">
      <c r="A31" s="14"/>
      <c r="B31" s="14"/>
      <c r="C31" s="14"/>
      <c r="D31" s="14"/>
      <c r="E31" s="14"/>
      <c r="F31" s="14"/>
      <c r="G31" s="14"/>
      <c r="H31" s="14"/>
      <c r="I31" s="14"/>
      <c r="J31" s="14"/>
      <c r="K31" s="14"/>
      <c r="L31" s="14"/>
      <c r="M31" s="14"/>
      <c r="N31" s="14"/>
      <c r="O31" s="14"/>
      <c r="P31" s="15"/>
    </row>
    <row r="32" spans="1:16" ht="7.95" customHeight="1">
      <c r="P32" s="16"/>
    </row>
    <row r="33" spans="2:17" ht="42" customHeight="1" thickBot="1">
      <c r="B33" s="30" t="s">
        <v>33</v>
      </c>
      <c r="C33" s="31" t="s">
        <v>34</v>
      </c>
      <c r="D33" s="32"/>
      <c r="E33" s="30" t="s">
        <v>32</v>
      </c>
      <c r="F33" s="31" t="s">
        <v>34</v>
      </c>
      <c r="G33" s="32"/>
      <c r="H33" s="30" t="s">
        <v>6</v>
      </c>
      <c r="I33" s="31" t="s">
        <v>34</v>
      </c>
      <c r="J33" s="32"/>
      <c r="K33" s="30" t="s">
        <v>27</v>
      </c>
      <c r="L33" s="31" t="s">
        <v>34</v>
      </c>
      <c r="M33" s="32"/>
      <c r="N33" s="30" t="s">
        <v>10</v>
      </c>
      <c r="O33" s="33" t="s">
        <v>37</v>
      </c>
      <c r="P33" s="33" t="s">
        <v>38</v>
      </c>
      <c r="Q33" s="33" t="s">
        <v>39</v>
      </c>
    </row>
    <row r="34" spans="2:17" ht="15.6" thickTop="1">
      <c r="B34" s="28" t="s">
        <v>41</v>
      </c>
      <c r="C34" s="34">
        <f>COUNTIF(Table_test_case[FUNGTION],TablePage[[#This Row],[PAGE]])</f>
        <v>20</v>
      </c>
      <c r="D34" s="28"/>
      <c r="E34" s="28" t="s">
        <v>8</v>
      </c>
      <c r="F34" s="34">
        <f>COUNTIF(Table_test_case[TEST TYPE],TableTestType[[#This Row],[TYPE TEST]])</f>
        <v>44</v>
      </c>
      <c r="G34" s="28"/>
      <c r="H34" s="28" t="s">
        <v>23</v>
      </c>
      <c r="I34" s="34">
        <f>COUNTIF(Table_test_case[STATUS],TableStatus[[#This Row],[STATUS]])</f>
        <v>27</v>
      </c>
      <c r="J34" s="28"/>
      <c r="K34" s="28" t="s">
        <v>28</v>
      </c>
      <c r="L34" s="34">
        <f>COUNTIF(Table_test_case[PRIORITY],TablePriority[[#This Row],[PRIORITY ]])</f>
        <v>0</v>
      </c>
      <c r="M34" s="28"/>
      <c r="N34" s="28" t="s">
        <v>40</v>
      </c>
      <c r="O34" s="34">
        <f>COUNTIF(Table_test_case[PIC],TablePic[[#This Row],[PIC]])</f>
        <v>65</v>
      </c>
      <c r="P34" s="34">
        <f>COUNTIF(Table_test_case[CREATED
BY],TablePic[[#This Row],[PIC]])</f>
        <v>65</v>
      </c>
      <c r="Q34" s="34">
        <f>COUNTIF(Table_test_case[EXECUTED
BY],TablePic[[#This Row],[PIC]])</f>
        <v>32</v>
      </c>
    </row>
    <row r="35" spans="2:17">
      <c r="B35" s="28" t="s">
        <v>42</v>
      </c>
      <c r="C35" s="34">
        <f>COUNTIF(Table_test_case[FUNGTION],TablePage[[#This Row],[PAGE]])</f>
        <v>11</v>
      </c>
      <c r="D35" s="28"/>
      <c r="E35" s="28" t="s">
        <v>11</v>
      </c>
      <c r="F35" s="34">
        <f>COUNTIF(Table_test_case[TEST TYPE],TableTestType[[#This Row],[TYPE TEST]])</f>
        <v>21</v>
      </c>
      <c r="G35" s="28"/>
      <c r="H35" s="28" t="s">
        <v>24</v>
      </c>
      <c r="I35" s="34">
        <f>COUNTIF(Table_test_case[STATUS],TableStatus[[#This Row],[STATUS]])</f>
        <v>6</v>
      </c>
      <c r="J35" s="28"/>
      <c r="K35" s="28" t="s">
        <v>29</v>
      </c>
      <c r="L35" s="34">
        <f>COUNTIF(Table_test_case[PRIORITY],TablePriority[[#This Row],[PRIORITY ]])</f>
        <v>0</v>
      </c>
      <c r="M35" s="28"/>
      <c r="N35" s="28" t="s">
        <v>44</v>
      </c>
      <c r="O35" s="34">
        <f>COUNTIF(Table_test_case[PIC],TablePic[[#This Row],[PIC]])</f>
        <v>0</v>
      </c>
      <c r="P35" s="34">
        <f>COUNTIF(Table_test_case[CREATED
BY],TablePic[[#This Row],[PIC]])</f>
        <v>0</v>
      </c>
      <c r="Q35" s="34">
        <f>COUNTIF(Table_test_case[EXECUTED
BY],TablePic[[#This Row],[PIC]])</f>
        <v>0</v>
      </c>
    </row>
    <row r="36" spans="2:17">
      <c r="B36" s="28" t="s">
        <v>43</v>
      </c>
      <c r="C36" s="34">
        <f>COUNTIF(Table_test_case[FUNGTION],TablePage[[#This Row],[PAGE]])</f>
        <v>32</v>
      </c>
      <c r="D36" s="28"/>
      <c r="E36" s="28"/>
      <c r="F36" s="28"/>
      <c r="G36" s="28"/>
      <c r="H36" s="28" t="s">
        <v>25</v>
      </c>
      <c r="I36" s="34">
        <f>COUNTIF(Table_test_case[STATUS],TableStatus[[#This Row],[STATUS]])</f>
        <v>3</v>
      </c>
      <c r="J36" s="28"/>
      <c r="K36" s="28" t="s">
        <v>30</v>
      </c>
      <c r="L36" s="34">
        <f>COUNTIF(Table_test_case[PRIORITY],TablePriority[[#This Row],[PRIORITY ]])</f>
        <v>0</v>
      </c>
      <c r="M36" s="28"/>
      <c r="N36" s="28" t="s">
        <v>45</v>
      </c>
      <c r="O36" s="34">
        <f>COUNTIF(Table_test_case[PIC],TablePic[[#This Row],[PIC]])</f>
        <v>0</v>
      </c>
      <c r="P36" s="34">
        <f>COUNTIF(Table_test_case[CREATED
BY],TablePic[[#This Row],[PIC]])</f>
        <v>0</v>
      </c>
      <c r="Q36" s="34">
        <f>COUNTIF(Table_test_case[EXECUTED
BY],TablePic[[#This Row],[PIC]])</f>
        <v>0</v>
      </c>
    </row>
    <row r="37" spans="2:17">
      <c r="B37" s="28" t="s">
        <v>184</v>
      </c>
      <c r="C37" s="39">
        <f>COUNTIF(Table_test_case[FUNGTION],TablePage[[#This Row],[PAGE]])</f>
        <v>2</v>
      </c>
      <c r="D37" s="28"/>
      <c r="E37" s="28"/>
      <c r="F37" s="28"/>
      <c r="G37" s="28"/>
      <c r="H37" s="28" t="s">
        <v>20</v>
      </c>
      <c r="I37" s="34">
        <f>COUNTIF(Table_test_case[STATUS],TableStatus[[#This Row],[STATUS]])</f>
        <v>29</v>
      </c>
      <c r="J37" s="28"/>
      <c r="K37" s="28" t="s">
        <v>31</v>
      </c>
      <c r="L37" s="34">
        <f>COUNTIF(Table_test_case[PRIORITY],TablePriority[[#This Row],[PRIORITY ]])</f>
        <v>0</v>
      </c>
      <c r="M37" s="28"/>
      <c r="N37" s="28"/>
      <c r="O37" s="39"/>
      <c r="P37" s="39"/>
      <c r="Q37" s="34"/>
    </row>
    <row r="38" spans="2:17">
      <c r="B38" s="28"/>
      <c r="C38" s="34"/>
      <c r="D38" s="28"/>
      <c r="E38" s="28"/>
      <c r="F38" s="28"/>
      <c r="G38" s="28"/>
      <c r="H38" s="28"/>
      <c r="I38" s="29"/>
      <c r="J38" s="28"/>
      <c r="K38" s="28"/>
      <c r="L38" s="28"/>
      <c r="M38" s="28"/>
      <c r="N38" s="28"/>
      <c r="O38" s="39"/>
      <c r="P38" s="39"/>
      <c r="Q38" s="34"/>
    </row>
    <row r="39" spans="2:17">
      <c r="B39" s="28"/>
      <c r="C39" s="34"/>
      <c r="D39" s="28"/>
      <c r="E39" s="28"/>
      <c r="F39" s="28"/>
      <c r="G39" s="28"/>
      <c r="H39" s="28"/>
      <c r="I39" s="29"/>
      <c r="J39" s="28"/>
      <c r="K39" s="28"/>
      <c r="L39" s="28"/>
      <c r="M39" s="28"/>
      <c r="N39" s="28"/>
      <c r="O39" s="39"/>
      <c r="P39" s="39"/>
      <c r="Q39" s="39"/>
    </row>
    <row r="40" spans="2:17">
      <c r="B40" s="28"/>
      <c r="C40" s="34"/>
      <c r="D40" s="28"/>
      <c r="E40" s="28"/>
      <c r="F40" s="28"/>
      <c r="G40" s="28"/>
      <c r="H40" s="28"/>
      <c r="I40" s="29"/>
      <c r="J40" s="28"/>
      <c r="K40" s="28"/>
      <c r="L40" s="28"/>
      <c r="M40" s="28"/>
      <c r="N40" s="28"/>
      <c r="O40" s="28"/>
      <c r="P40" s="28"/>
    </row>
    <row r="41" spans="2:17">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sheetPr>
  <dimension ref="A7:T81"/>
  <sheetViews>
    <sheetView showGridLines="0" tabSelected="1" zoomScale="85" zoomScaleNormal="85" workbookViewId="0">
      <pane xSplit="6" ySplit="10" topLeftCell="J40" activePane="bottomRight" state="frozen"/>
      <selection activeCell="C17" sqref="C17:C18"/>
      <selection pane="topRight" activeCell="C17" sqref="C17:C18"/>
      <selection pane="bottomLeft" activeCell="C17" sqref="C17:C18"/>
      <selection pane="bottomRight" activeCell="M49" sqref="M49"/>
    </sheetView>
  </sheetViews>
  <sheetFormatPr defaultColWidth="9" defaultRowHeight="13.2"/>
  <cols>
    <col min="1" max="1" width="4" style="5" customWidth="1"/>
    <col min="2" max="2" width="30.69921875" style="5" customWidth="1"/>
    <col min="3" max="3" width="9.69921875" style="5" customWidth="1"/>
    <col min="4" max="4" width="9.5" style="5" bestFit="1" customWidth="1"/>
    <col min="5" max="5" width="11" style="5" customWidth="1"/>
    <col min="6" max="6" width="2.19921875" style="19" customWidth="1"/>
    <col min="7" max="12" width="35.69921875" style="5" customWidth="1"/>
    <col min="13" max="13" width="25.69921875" style="5" customWidth="1"/>
    <col min="14" max="14" width="16" style="5" customWidth="1"/>
    <col min="15" max="16" width="12.69921875" style="5" customWidth="1"/>
    <col min="17" max="17" width="16.69921875" style="5" customWidth="1"/>
    <col min="18" max="18" width="12.69921875" style="5" customWidth="1"/>
    <col min="19" max="19" width="16.69921875" style="5" customWidth="1"/>
    <col min="20" max="20" width="9" style="12"/>
    <col min="21" max="16384" width="9" style="5"/>
  </cols>
  <sheetData>
    <row r="7" spans="1:20">
      <c r="A7" s="27"/>
      <c r="B7" s="6"/>
      <c r="C7" s="25"/>
      <c r="D7" s="26"/>
      <c r="E7" s="6"/>
      <c r="F7" s="6"/>
      <c r="T7" s="5"/>
    </row>
    <row r="8" spans="1:20">
      <c r="A8" s="6"/>
      <c r="B8" s="9"/>
      <c r="F8" s="9"/>
      <c r="G8" s="10"/>
      <c r="H8" s="10"/>
      <c r="I8" s="10"/>
      <c r="J8" s="8"/>
      <c r="K8" s="6"/>
      <c r="L8" s="6"/>
      <c r="M8" s="6"/>
      <c r="N8" s="6"/>
      <c r="O8" s="6"/>
      <c r="P8" s="6"/>
      <c r="Q8" s="6"/>
      <c r="R8" s="6"/>
      <c r="S8" s="6"/>
      <c r="T8" s="5"/>
    </row>
    <row r="9" spans="1:20">
      <c r="A9" s="6"/>
      <c r="B9" s="6"/>
      <c r="F9" s="5"/>
      <c r="G9" s="7"/>
      <c r="H9" s="7"/>
      <c r="I9" s="7"/>
      <c r="J9" s="7"/>
      <c r="K9" s="6"/>
      <c r="L9" s="6"/>
      <c r="M9" s="6"/>
      <c r="N9" s="6"/>
      <c r="O9" s="6"/>
      <c r="P9" s="6"/>
      <c r="Q9" s="6"/>
      <c r="R9" s="6"/>
      <c r="S9" s="6"/>
      <c r="T9" s="5"/>
    </row>
    <row r="10" spans="1:20" ht="39" customHeight="1">
      <c r="A10" s="24" t="s">
        <v>0</v>
      </c>
      <c r="B10" s="24" t="s">
        <v>1</v>
      </c>
      <c r="C10" s="24" t="s">
        <v>21</v>
      </c>
      <c r="D10" s="24" t="s">
        <v>5</v>
      </c>
      <c r="E10" s="24" t="s">
        <v>6</v>
      </c>
      <c r="F10" s="24" t="s">
        <v>35</v>
      </c>
      <c r="G10" s="24" t="s">
        <v>14</v>
      </c>
      <c r="H10" s="24" t="s">
        <v>15</v>
      </c>
      <c r="I10" s="24" t="s">
        <v>36</v>
      </c>
      <c r="J10" s="24" t="s">
        <v>2</v>
      </c>
      <c r="K10" s="24" t="s">
        <v>3</v>
      </c>
      <c r="L10" s="24" t="s">
        <v>4</v>
      </c>
      <c r="M10" s="24" t="s">
        <v>7</v>
      </c>
      <c r="N10" s="24" t="s">
        <v>26</v>
      </c>
      <c r="O10" s="24" t="s">
        <v>10</v>
      </c>
      <c r="P10" s="24" t="s">
        <v>16</v>
      </c>
      <c r="Q10" s="24" t="s">
        <v>17</v>
      </c>
      <c r="R10" s="24" t="s">
        <v>18</v>
      </c>
      <c r="S10" s="24" t="s">
        <v>19</v>
      </c>
      <c r="T10" s="5"/>
    </row>
    <row r="11" spans="1:20" s="11" customFormat="1" ht="224.4">
      <c r="A11" s="20">
        <v>1</v>
      </c>
      <c r="B11" s="21" t="s">
        <v>41</v>
      </c>
      <c r="C11" s="21" t="s">
        <v>46</v>
      </c>
      <c r="D11" s="21" t="s">
        <v>8</v>
      </c>
      <c r="E11" s="21" t="s">
        <v>23</v>
      </c>
      <c r="F11" s="18"/>
      <c r="G11" s="18" t="s">
        <v>124</v>
      </c>
      <c r="H11" s="18" t="s">
        <v>47</v>
      </c>
      <c r="I11" s="18"/>
      <c r="J11" s="18" t="s">
        <v>125</v>
      </c>
      <c r="K11" s="18" t="s">
        <v>49</v>
      </c>
      <c r="L11" s="18" t="s">
        <v>142</v>
      </c>
      <c r="M11" s="22"/>
      <c r="N11" s="22"/>
      <c r="O11" s="22" t="s">
        <v>40</v>
      </c>
      <c r="P11" s="21" t="s">
        <v>40</v>
      </c>
      <c r="Q11" s="23">
        <v>44459</v>
      </c>
      <c r="R11" s="22" t="s">
        <v>40</v>
      </c>
      <c r="S11" s="23"/>
    </row>
    <row r="12" spans="1:20" s="11" customFormat="1" ht="52.8">
      <c r="A12" s="20">
        <v>2</v>
      </c>
      <c r="B12" s="21" t="s">
        <v>41</v>
      </c>
      <c r="C12" s="21" t="s">
        <v>48</v>
      </c>
      <c r="D12" s="21" t="s">
        <v>8</v>
      </c>
      <c r="E12" s="21" t="s">
        <v>25</v>
      </c>
      <c r="F12" s="18"/>
      <c r="G12" s="18" t="s">
        <v>68</v>
      </c>
      <c r="H12" s="18" t="s">
        <v>46</v>
      </c>
      <c r="I12" s="18" t="s">
        <v>51</v>
      </c>
      <c r="J12" s="18" t="s">
        <v>52</v>
      </c>
      <c r="K12" s="18" t="s">
        <v>65</v>
      </c>
      <c r="L12" s="18"/>
      <c r="M12" s="22"/>
      <c r="N12" s="22"/>
      <c r="O12" s="22" t="s">
        <v>40</v>
      </c>
      <c r="P12" s="21" t="s">
        <v>40</v>
      </c>
      <c r="Q12" s="23">
        <v>44678.407881944448</v>
      </c>
      <c r="R12" s="22"/>
      <c r="S12" s="23"/>
    </row>
    <row r="13" spans="1:20" s="11" customFormat="1" ht="79.2">
      <c r="A13" s="20">
        <v>3</v>
      </c>
      <c r="B13" s="21" t="s">
        <v>41</v>
      </c>
      <c r="C13" s="21" t="s">
        <v>50</v>
      </c>
      <c r="D13" s="21" t="s">
        <v>11</v>
      </c>
      <c r="E13" s="21" t="s">
        <v>25</v>
      </c>
      <c r="F13" s="18"/>
      <c r="G13" s="18" t="s">
        <v>67</v>
      </c>
      <c r="H13" s="18" t="s">
        <v>46</v>
      </c>
      <c r="I13" s="18" t="s">
        <v>53</v>
      </c>
      <c r="J13" s="18" t="s">
        <v>54</v>
      </c>
      <c r="K13" s="18" t="s">
        <v>66</v>
      </c>
      <c r="L13" s="18"/>
      <c r="M13" s="22"/>
      <c r="N13" s="22"/>
      <c r="O13" s="22" t="s">
        <v>40</v>
      </c>
      <c r="P13" s="21" t="s">
        <v>40</v>
      </c>
      <c r="Q13" s="23">
        <v>44678.431898148148</v>
      </c>
      <c r="R13" s="22"/>
      <c r="S13" s="23"/>
    </row>
    <row r="14" spans="1:20" ht="92.4">
      <c r="A14" s="20">
        <v>4</v>
      </c>
      <c r="B14" s="21" t="s">
        <v>41</v>
      </c>
      <c r="C14" s="21" t="s">
        <v>55</v>
      </c>
      <c r="D14" s="21" t="s">
        <v>8</v>
      </c>
      <c r="E14" s="21" t="s">
        <v>23</v>
      </c>
      <c r="F14" s="18"/>
      <c r="G14" s="18" t="s">
        <v>145</v>
      </c>
      <c r="H14" s="18" t="s">
        <v>48</v>
      </c>
      <c r="I14" s="18" t="s">
        <v>150</v>
      </c>
      <c r="J14" s="18" t="s">
        <v>64</v>
      </c>
      <c r="K14" s="18" t="s">
        <v>62</v>
      </c>
      <c r="L14" s="18" t="s">
        <v>146</v>
      </c>
      <c r="M14" s="22"/>
      <c r="N14" s="22"/>
      <c r="O14" s="22" t="s">
        <v>40</v>
      </c>
      <c r="P14" s="21" t="s">
        <v>40</v>
      </c>
      <c r="Q14" s="23">
        <v>44678.434710648151</v>
      </c>
      <c r="R14" s="22" t="s">
        <v>40</v>
      </c>
      <c r="S14" s="23">
        <v>44679.416666666664</v>
      </c>
    </row>
    <row r="15" spans="1:20" ht="92.4">
      <c r="A15" s="20">
        <v>5</v>
      </c>
      <c r="B15" s="21" t="s">
        <v>41</v>
      </c>
      <c r="C15" s="21" t="s">
        <v>58</v>
      </c>
      <c r="D15" s="21" t="s">
        <v>11</v>
      </c>
      <c r="E15" s="21" t="s">
        <v>23</v>
      </c>
      <c r="F15" s="18"/>
      <c r="G15" s="18" t="s">
        <v>149</v>
      </c>
      <c r="H15" s="18" t="s">
        <v>48</v>
      </c>
      <c r="I15" s="18" t="s">
        <v>150</v>
      </c>
      <c r="J15" s="18" t="s">
        <v>64</v>
      </c>
      <c r="K15" s="18" t="s">
        <v>147</v>
      </c>
      <c r="L15" s="18" t="s">
        <v>148</v>
      </c>
      <c r="M15" s="22"/>
      <c r="N15" s="22"/>
      <c r="O15" s="22" t="s">
        <v>40</v>
      </c>
      <c r="P15" s="21" t="s">
        <v>40</v>
      </c>
      <c r="Q15" s="23">
        <v>44678.445</v>
      </c>
      <c r="R15" s="22" t="s">
        <v>40</v>
      </c>
      <c r="S15" s="23">
        <v>44679.433333333334</v>
      </c>
    </row>
    <row r="16" spans="1:20" ht="66">
      <c r="A16" s="20">
        <v>6</v>
      </c>
      <c r="B16" s="21" t="s">
        <v>41</v>
      </c>
      <c r="C16" s="21" t="s">
        <v>60</v>
      </c>
      <c r="D16" s="21" t="s">
        <v>8</v>
      </c>
      <c r="E16" s="21" t="s">
        <v>23</v>
      </c>
      <c r="F16" s="18"/>
      <c r="G16" s="18" t="s">
        <v>143</v>
      </c>
      <c r="H16" s="18" t="s">
        <v>46</v>
      </c>
      <c r="I16" s="18" t="s">
        <v>86</v>
      </c>
      <c r="J16" s="18" t="s">
        <v>57</v>
      </c>
      <c r="K16" s="18" t="s">
        <v>87</v>
      </c>
      <c r="L16" s="18"/>
      <c r="M16" s="22"/>
      <c r="N16" s="22"/>
      <c r="O16" s="22" t="s">
        <v>40</v>
      </c>
      <c r="P16" s="21" t="s">
        <v>40</v>
      </c>
      <c r="Q16" s="23">
        <v>44678.449618055558</v>
      </c>
      <c r="R16" s="22"/>
      <c r="S16" s="23"/>
    </row>
    <row r="17" spans="1:19" ht="66">
      <c r="A17" s="20">
        <v>7</v>
      </c>
      <c r="B17" s="21" t="s">
        <v>41</v>
      </c>
      <c r="C17" s="21" t="s">
        <v>61</v>
      </c>
      <c r="D17" s="21" t="s">
        <v>11</v>
      </c>
      <c r="E17" s="21" t="s">
        <v>23</v>
      </c>
      <c r="F17" s="18"/>
      <c r="G17" s="18" t="s">
        <v>144</v>
      </c>
      <c r="H17" s="18" t="s">
        <v>48</v>
      </c>
      <c r="I17" s="18" t="s">
        <v>151</v>
      </c>
      <c r="J17" s="18" t="s">
        <v>57</v>
      </c>
      <c r="K17" s="18" t="s">
        <v>62</v>
      </c>
      <c r="L17" s="18" t="s">
        <v>146</v>
      </c>
      <c r="M17" s="22"/>
      <c r="N17" s="22"/>
      <c r="O17" s="22" t="s">
        <v>40</v>
      </c>
      <c r="P17" s="21" t="s">
        <v>40</v>
      </c>
      <c r="Q17" s="23">
        <v>44678.454861111109</v>
      </c>
      <c r="R17" s="22" t="s">
        <v>40</v>
      </c>
      <c r="S17" s="23">
        <v>44679.448611111111</v>
      </c>
    </row>
    <row r="18" spans="1:19" ht="52.8">
      <c r="A18" s="20">
        <v>8</v>
      </c>
      <c r="B18" s="21" t="s">
        <v>41</v>
      </c>
      <c r="C18" s="21" t="s">
        <v>63</v>
      </c>
      <c r="D18" s="21" t="s">
        <v>8</v>
      </c>
      <c r="E18" s="21" t="s">
        <v>23</v>
      </c>
      <c r="F18" s="18"/>
      <c r="G18" s="18" t="s">
        <v>69</v>
      </c>
      <c r="H18" s="18" t="s">
        <v>46</v>
      </c>
      <c r="I18" s="18"/>
      <c r="J18" s="18" t="s">
        <v>70</v>
      </c>
      <c r="K18" s="18" t="s">
        <v>71</v>
      </c>
      <c r="L18" s="18" t="s">
        <v>152</v>
      </c>
      <c r="M18" s="22"/>
      <c r="N18" s="22"/>
      <c r="O18" s="22" t="s">
        <v>40</v>
      </c>
      <c r="P18" s="21" t="s">
        <v>40</v>
      </c>
      <c r="Q18" s="23">
        <v>44678.459062499998</v>
      </c>
      <c r="R18" s="22" t="s">
        <v>40</v>
      </c>
      <c r="S18" s="23">
        <v>44680.340277777781</v>
      </c>
    </row>
    <row r="19" spans="1:19" ht="66">
      <c r="A19" s="20">
        <v>9</v>
      </c>
      <c r="B19" s="21" t="s">
        <v>41</v>
      </c>
      <c r="C19" s="21" t="s">
        <v>72</v>
      </c>
      <c r="D19" s="21" t="s">
        <v>11</v>
      </c>
      <c r="E19" s="21" t="s">
        <v>23</v>
      </c>
      <c r="F19" s="18"/>
      <c r="G19" s="18" t="s">
        <v>73</v>
      </c>
      <c r="H19" s="18" t="s">
        <v>46</v>
      </c>
      <c r="I19" s="18" t="s">
        <v>77</v>
      </c>
      <c r="J19" s="18" t="s">
        <v>74</v>
      </c>
      <c r="K19" s="18" t="s">
        <v>75</v>
      </c>
      <c r="L19" s="18" t="s">
        <v>153</v>
      </c>
      <c r="M19" s="22"/>
      <c r="N19" s="22"/>
      <c r="O19" s="22" t="s">
        <v>40</v>
      </c>
      <c r="P19" s="21" t="s">
        <v>40</v>
      </c>
      <c r="Q19" s="23">
        <v>44678.471770833334</v>
      </c>
      <c r="R19" s="22" t="s">
        <v>40</v>
      </c>
      <c r="S19" s="23">
        <v>44680.354166666664</v>
      </c>
    </row>
    <row r="20" spans="1:19" ht="66">
      <c r="A20" s="20">
        <v>10</v>
      </c>
      <c r="B20" s="21" t="s">
        <v>41</v>
      </c>
      <c r="C20" s="21" t="s">
        <v>76</v>
      </c>
      <c r="D20" s="21" t="s">
        <v>8</v>
      </c>
      <c r="E20" s="21" t="s">
        <v>23</v>
      </c>
      <c r="F20" s="18"/>
      <c r="G20" s="18" t="s">
        <v>105</v>
      </c>
      <c r="H20" s="18" t="s">
        <v>72</v>
      </c>
      <c r="I20" s="18" t="s">
        <v>77</v>
      </c>
      <c r="J20" s="18" t="s">
        <v>78</v>
      </c>
      <c r="K20" s="18" t="s">
        <v>79</v>
      </c>
      <c r="L20" s="18" t="s">
        <v>154</v>
      </c>
      <c r="M20" s="22"/>
      <c r="N20" s="22"/>
      <c r="O20" s="22" t="s">
        <v>40</v>
      </c>
      <c r="P20" s="21" t="s">
        <v>40</v>
      </c>
      <c r="Q20" s="23">
        <v>44678.475624999999</v>
      </c>
      <c r="R20" s="22" t="s">
        <v>40</v>
      </c>
      <c r="S20" s="23">
        <v>44680.361111111109</v>
      </c>
    </row>
    <row r="21" spans="1:19" ht="79.2">
      <c r="A21" s="20">
        <v>11</v>
      </c>
      <c r="B21" s="21" t="s">
        <v>41</v>
      </c>
      <c r="C21" s="21" t="s">
        <v>80</v>
      </c>
      <c r="D21" s="21" t="s">
        <v>11</v>
      </c>
      <c r="E21" s="21" t="s">
        <v>23</v>
      </c>
      <c r="F21" s="18"/>
      <c r="G21" s="18" t="s">
        <v>106</v>
      </c>
      <c r="H21" s="18" t="s">
        <v>72</v>
      </c>
      <c r="I21" s="18" t="s">
        <v>155</v>
      </c>
      <c r="J21" s="18" t="s">
        <v>78</v>
      </c>
      <c r="K21" s="18" t="s">
        <v>81</v>
      </c>
      <c r="L21" s="18" t="s">
        <v>156</v>
      </c>
      <c r="M21" s="22"/>
      <c r="N21" s="22"/>
      <c r="O21" s="22" t="s">
        <v>40</v>
      </c>
      <c r="P21" s="21" t="s">
        <v>40</v>
      </c>
      <c r="Q21" s="23">
        <v>44678.478564814817</v>
      </c>
      <c r="R21" s="22" t="s">
        <v>40</v>
      </c>
      <c r="S21" s="23">
        <v>44680.368055555555</v>
      </c>
    </row>
    <row r="22" spans="1:19" ht="52.8">
      <c r="A22" s="20">
        <v>12</v>
      </c>
      <c r="B22" s="21" t="s">
        <v>41</v>
      </c>
      <c r="C22" s="21" t="s">
        <v>82</v>
      </c>
      <c r="D22" s="21" t="s">
        <v>8</v>
      </c>
      <c r="E22" s="21" t="s">
        <v>23</v>
      </c>
      <c r="F22" s="18"/>
      <c r="G22" s="18" t="s">
        <v>83</v>
      </c>
      <c r="H22" s="18" t="s">
        <v>46</v>
      </c>
      <c r="I22" s="18"/>
      <c r="J22" s="18" t="s">
        <v>84</v>
      </c>
      <c r="K22" s="18" t="s">
        <v>85</v>
      </c>
      <c r="L22" s="18" t="s">
        <v>157</v>
      </c>
      <c r="M22" s="22"/>
      <c r="N22" s="22"/>
      <c r="O22" s="22" t="s">
        <v>40</v>
      </c>
      <c r="P22" s="21" t="s">
        <v>40</v>
      </c>
      <c r="Q22" s="23">
        <v>44678.481574074074</v>
      </c>
      <c r="R22" s="22" t="s">
        <v>40</v>
      </c>
      <c r="S22" s="23">
        <v>44680.37777777778</v>
      </c>
    </row>
    <row r="23" spans="1:19" ht="66">
      <c r="A23" s="20">
        <v>13</v>
      </c>
      <c r="B23" s="21" t="s">
        <v>41</v>
      </c>
      <c r="C23" s="21" t="s">
        <v>88</v>
      </c>
      <c r="D23" s="21" t="s">
        <v>8</v>
      </c>
      <c r="E23" s="21" t="s">
        <v>23</v>
      </c>
      <c r="F23" s="18"/>
      <c r="G23" s="18" t="s">
        <v>89</v>
      </c>
      <c r="H23" s="18" t="s">
        <v>48</v>
      </c>
      <c r="I23" s="18" t="s">
        <v>59</v>
      </c>
      <c r="J23" s="18" t="s">
        <v>57</v>
      </c>
      <c r="K23" s="18" t="s">
        <v>162</v>
      </c>
      <c r="L23" s="18" t="s">
        <v>164</v>
      </c>
      <c r="M23" s="22"/>
      <c r="N23" s="22"/>
      <c r="O23" s="22" t="s">
        <v>40</v>
      </c>
      <c r="P23" s="21" t="s">
        <v>40</v>
      </c>
      <c r="Q23" s="23">
        <v>44678.492418981485</v>
      </c>
      <c r="R23" s="22" t="s">
        <v>40</v>
      </c>
      <c r="S23" s="23">
        <v>44680.379166666666</v>
      </c>
    </row>
    <row r="24" spans="1:19" ht="66">
      <c r="A24" s="20">
        <v>14</v>
      </c>
      <c r="B24" s="21" t="s">
        <v>41</v>
      </c>
      <c r="C24" s="21" t="s">
        <v>90</v>
      </c>
      <c r="D24" s="21" t="s">
        <v>8</v>
      </c>
      <c r="E24" s="21" t="s">
        <v>23</v>
      </c>
      <c r="F24" s="18"/>
      <c r="G24" s="18" t="s">
        <v>158</v>
      </c>
      <c r="H24" s="18" t="s">
        <v>48</v>
      </c>
      <c r="I24" s="18" t="s">
        <v>91</v>
      </c>
      <c r="J24" s="18" t="s">
        <v>57</v>
      </c>
      <c r="K24" s="18" t="s">
        <v>161</v>
      </c>
      <c r="L24" s="18" t="s">
        <v>163</v>
      </c>
      <c r="M24" s="22"/>
      <c r="N24" s="22"/>
      <c r="O24" s="22" t="s">
        <v>40</v>
      </c>
      <c r="P24" s="21" t="s">
        <v>40</v>
      </c>
      <c r="Q24" s="23">
        <v>44678.4924537037</v>
      </c>
      <c r="R24" s="22" t="s">
        <v>40</v>
      </c>
      <c r="S24" s="23">
        <v>44680.385416666664</v>
      </c>
    </row>
    <row r="25" spans="1:19" ht="66">
      <c r="A25" s="20">
        <v>15</v>
      </c>
      <c r="B25" s="41" t="s">
        <v>41</v>
      </c>
      <c r="C25" s="21" t="s">
        <v>93</v>
      </c>
      <c r="D25" s="21" t="s">
        <v>8</v>
      </c>
      <c r="E25" s="21" t="s">
        <v>23</v>
      </c>
      <c r="F25" s="18"/>
      <c r="G25" s="18" t="s">
        <v>159</v>
      </c>
      <c r="H25" s="18" t="s">
        <v>48</v>
      </c>
      <c r="I25" s="18" t="s">
        <v>92</v>
      </c>
      <c r="J25" s="18" t="s">
        <v>57</v>
      </c>
      <c r="K25" s="18" t="s">
        <v>160</v>
      </c>
      <c r="L25" s="18" t="s">
        <v>163</v>
      </c>
      <c r="M25" s="22"/>
      <c r="N25" s="22"/>
      <c r="O25" s="22" t="s">
        <v>40</v>
      </c>
      <c r="P25" s="21" t="s">
        <v>40</v>
      </c>
      <c r="Q25" s="23">
        <v>44678.496145833335</v>
      </c>
      <c r="R25" s="22" t="s">
        <v>40</v>
      </c>
      <c r="S25" s="23">
        <v>44680.388194444444</v>
      </c>
    </row>
    <row r="26" spans="1:19" ht="66">
      <c r="A26" s="20">
        <v>16</v>
      </c>
      <c r="B26" s="40" t="s">
        <v>41</v>
      </c>
      <c r="C26" s="21" t="s">
        <v>94</v>
      </c>
      <c r="D26" s="21" t="s">
        <v>8</v>
      </c>
      <c r="E26" s="21" t="s">
        <v>23</v>
      </c>
      <c r="F26" s="18"/>
      <c r="G26" s="18" t="s">
        <v>99</v>
      </c>
      <c r="H26" s="18" t="s">
        <v>48</v>
      </c>
      <c r="I26" s="18" t="s">
        <v>95</v>
      </c>
      <c r="J26" s="18" t="s">
        <v>57</v>
      </c>
      <c r="K26" s="18" t="s">
        <v>100</v>
      </c>
      <c r="L26" s="18" t="s">
        <v>165</v>
      </c>
      <c r="M26" s="22"/>
      <c r="N26" s="22"/>
      <c r="O26" s="22" t="s">
        <v>40</v>
      </c>
      <c r="P26" s="21" t="s">
        <v>40</v>
      </c>
      <c r="Q26" s="23">
        <v>44678.544988425929</v>
      </c>
      <c r="R26" s="22" t="s">
        <v>40</v>
      </c>
      <c r="S26" s="23">
        <v>44680.392361111109</v>
      </c>
    </row>
    <row r="27" spans="1:19" ht="66">
      <c r="A27" s="20">
        <v>17</v>
      </c>
      <c r="B27" s="21" t="s">
        <v>41</v>
      </c>
      <c r="C27" s="21" t="s">
        <v>96</v>
      </c>
      <c r="D27" s="21" t="s">
        <v>8</v>
      </c>
      <c r="E27" s="21" t="s">
        <v>23</v>
      </c>
      <c r="F27" s="18"/>
      <c r="G27" s="18" t="s">
        <v>166</v>
      </c>
      <c r="H27" s="18" t="s">
        <v>48</v>
      </c>
      <c r="I27" s="18" t="s">
        <v>56</v>
      </c>
      <c r="J27" s="18" t="s">
        <v>97</v>
      </c>
      <c r="K27" s="18" t="s">
        <v>98</v>
      </c>
      <c r="L27" s="18" t="s">
        <v>167</v>
      </c>
      <c r="M27" s="22"/>
      <c r="N27" s="22"/>
      <c r="O27" s="22" t="s">
        <v>40</v>
      </c>
      <c r="P27" s="21" t="s">
        <v>40</v>
      </c>
      <c r="Q27" s="23">
        <v>44678.546006944445</v>
      </c>
      <c r="R27" s="22" t="s">
        <v>40</v>
      </c>
      <c r="S27" s="23">
        <v>44680.394444444442</v>
      </c>
    </row>
    <row r="28" spans="1:19" ht="79.2">
      <c r="A28" s="20">
        <v>18</v>
      </c>
      <c r="B28" s="21" t="s">
        <v>41</v>
      </c>
      <c r="C28" s="21" t="s">
        <v>101</v>
      </c>
      <c r="D28" s="21" t="s">
        <v>8</v>
      </c>
      <c r="E28" s="21" t="s">
        <v>20</v>
      </c>
      <c r="F28" s="18"/>
      <c r="G28" s="18" t="s">
        <v>102</v>
      </c>
      <c r="H28" s="18" t="s">
        <v>48</v>
      </c>
      <c r="I28" s="18" t="s">
        <v>56</v>
      </c>
      <c r="J28" s="18" t="s">
        <v>64</v>
      </c>
      <c r="K28" s="18" t="s">
        <v>103</v>
      </c>
      <c r="L28" s="18"/>
      <c r="M28" s="22"/>
      <c r="N28" s="22"/>
      <c r="O28" s="22" t="s">
        <v>40</v>
      </c>
      <c r="P28" s="21" t="s">
        <v>40</v>
      </c>
      <c r="Q28" s="23">
        <v>44678.550706018519</v>
      </c>
      <c r="R28" s="22"/>
      <c r="S28" s="23"/>
    </row>
    <row r="29" spans="1:19" ht="66">
      <c r="A29" s="20">
        <v>19</v>
      </c>
      <c r="B29" s="21" t="s">
        <v>41</v>
      </c>
      <c r="C29" s="21" t="s">
        <v>104</v>
      </c>
      <c r="D29" s="21" t="s">
        <v>8</v>
      </c>
      <c r="E29" s="21" t="s">
        <v>23</v>
      </c>
      <c r="F29" s="18"/>
      <c r="G29" s="18" t="s">
        <v>107</v>
      </c>
      <c r="H29" s="18" t="s">
        <v>46</v>
      </c>
      <c r="I29" s="18"/>
      <c r="J29" s="18" t="s">
        <v>78</v>
      </c>
      <c r="K29" s="18" t="s">
        <v>79</v>
      </c>
      <c r="L29" s="18" t="s">
        <v>168</v>
      </c>
      <c r="M29" s="22"/>
      <c r="N29" s="22"/>
      <c r="O29" s="22" t="s">
        <v>40</v>
      </c>
      <c r="P29" s="21" t="s">
        <v>40</v>
      </c>
      <c r="Q29" s="23">
        <v>44678.557962962965</v>
      </c>
      <c r="R29" s="22" t="s">
        <v>40</v>
      </c>
      <c r="S29" s="23">
        <v>44680.398611111108</v>
      </c>
    </row>
    <row r="30" spans="1:19" ht="79.2">
      <c r="A30" s="20">
        <v>20</v>
      </c>
      <c r="B30" s="21" t="s">
        <v>42</v>
      </c>
      <c r="C30" s="21" t="s">
        <v>108</v>
      </c>
      <c r="D30" s="21" t="s">
        <v>8</v>
      </c>
      <c r="E30" s="21" t="s">
        <v>20</v>
      </c>
      <c r="F30" s="18"/>
      <c r="G30" s="18" t="s">
        <v>109</v>
      </c>
      <c r="H30" s="18" t="s">
        <v>46</v>
      </c>
      <c r="I30" s="18"/>
      <c r="J30" s="18" t="s">
        <v>110</v>
      </c>
      <c r="K30" s="18" t="s">
        <v>133</v>
      </c>
      <c r="L30" s="18"/>
      <c r="M30" s="22"/>
      <c r="N30" s="22"/>
      <c r="O30" s="22" t="s">
        <v>40</v>
      </c>
      <c r="P30" s="21" t="s">
        <v>40</v>
      </c>
      <c r="Q30" s="23">
        <v>44678.563784722224</v>
      </c>
      <c r="R30" s="22"/>
      <c r="S30" s="23"/>
    </row>
    <row r="31" spans="1:19" ht="39.6">
      <c r="A31" s="20">
        <v>21</v>
      </c>
      <c r="B31" s="21" t="s">
        <v>42</v>
      </c>
      <c r="C31" s="21" t="s">
        <v>111</v>
      </c>
      <c r="D31" s="21" t="s">
        <v>8</v>
      </c>
      <c r="E31" s="21" t="s">
        <v>23</v>
      </c>
      <c r="F31" s="18"/>
      <c r="G31" s="18" t="s">
        <v>112</v>
      </c>
      <c r="H31" s="18" t="s">
        <v>108</v>
      </c>
      <c r="I31" s="18" t="s">
        <v>173</v>
      </c>
      <c r="J31" s="18" t="s">
        <v>114</v>
      </c>
      <c r="K31" s="18" t="s">
        <v>132</v>
      </c>
      <c r="L31" s="18" t="s">
        <v>174</v>
      </c>
      <c r="M31" s="22"/>
      <c r="N31" s="22"/>
      <c r="O31" s="22" t="s">
        <v>40</v>
      </c>
      <c r="P31" s="21" t="s">
        <v>40</v>
      </c>
      <c r="Q31" s="23">
        <v>44678.567511574074</v>
      </c>
      <c r="R31" s="22" t="s">
        <v>40</v>
      </c>
      <c r="S31" s="23">
        <v>44679.44027777778</v>
      </c>
    </row>
    <row r="32" spans="1:19" ht="39.6">
      <c r="A32" s="20">
        <v>22</v>
      </c>
      <c r="B32" s="21" t="s">
        <v>42</v>
      </c>
      <c r="C32" s="21" t="s">
        <v>115</v>
      </c>
      <c r="D32" s="21" t="s">
        <v>11</v>
      </c>
      <c r="E32" s="21" t="s">
        <v>23</v>
      </c>
      <c r="F32" s="18"/>
      <c r="G32" s="18" t="s">
        <v>118</v>
      </c>
      <c r="H32" s="18" t="s">
        <v>108</v>
      </c>
      <c r="I32" s="18" t="s">
        <v>175</v>
      </c>
      <c r="J32" s="18" t="s">
        <v>114</v>
      </c>
      <c r="K32" s="18" t="s">
        <v>121</v>
      </c>
      <c r="L32" s="18" t="s">
        <v>176</v>
      </c>
      <c r="M32" s="22"/>
      <c r="N32" s="22"/>
      <c r="O32" s="22" t="s">
        <v>40</v>
      </c>
      <c r="P32" s="21" t="s">
        <v>40</v>
      </c>
      <c r="Q32" s="23">
        <v>44678.571053240739</v>
      </c>
      <c r="R32" s="22" t="s">
        <v>40</v>
      </c>
      <c r="S32" s="23">
        <v>44679.450694444444</v>
      </c>
    </row>
    <row r="33" spans="1:19" ht="39.6">
      <c r="A33" s="20">
        <v>23</v>
      </c>
      <c r="B33" s="21" t="s">
        <v>42</v>
      </c>
      <c r="C33" s="21" t="s">
        <v>117</v>
      </c>
      <c r="D33" s="21" t="s">
        <v>11</v>
      </c>
      <c r="E33" s="21" t="s">
        <v>23</v>
      </c>
      <c r="F33" s="18"/>
      <c r="G33" s="18" t="s">
        <v>119</v>
      </c>
      <c r="H33" s="18" t="s">
        <v>108</v>
      </c>
      <c r="I33" s="18" t="s">
        <v>177</v>
      </c>
      <c r="J33" s="18" t="s">
        <v>114</v>
      </c>
      <c r="K33" s="18" t="s">
        <v>121</v>
      </c>
      <c r="L33" s="18" t="s">
        <v>176</v>
      </c>
      <c r="M33" s="22"/>
      <c r="N33" s="22"/>
      <c r="O33" s="22" t="s">
        <v>40</v>
      </c>
      <c r="P33" s="21" t="s">
        <v>40</v>
      </c>
      <c r="Q33" s="23">
        <v>44678.573425925926</v>
      </c>
      <c r="R33" s="22" t="s">
        <v>40</v>
      </c>
      <c r="S33" s="23">
        <v>44679.452777777777</v>
      </c>
    </row>
    <row r="34" spans="1:19" ht="39.6">
      <c r="A34" s="20">
        <v>24</v>
      </c>
      <c r="B34" s="21" t="s">
        <v>42</v>
      </c>
      <c r="C34" s="21" t="s">
        <v>120</v>
      </c>
      <c r="D34" s="21" t="s">
        <v>11</v>
      </c>
      <c r="E34" s="21" t="s">
        <v>23</v>
      </c>
      <c r="F34" s="18"/>
      <c r="G34" s="18" t="s">
        <v>116</v>
      </c>
      <c r="H34" s="18" t="s">
        <v>108</v>
      </c>
      <c r="I34" s="18" t="s">
        <v>178</v>
      </c>
      <c r="J34" s="18" t="s">
        <v>114</v>
      </c>
      <c r="K34" s="18" t="s">
        <v>121</v>
      </c>
      <c r="L34" s="18" t="s">
        <v>176</v>
      </c>
      <c r="M34" s="22"/>
      <c r="N34" s="22"/>
      <c r="O34" s="22" t="s">
        <v>40</v>
      </c>
      <c r="P34" s="21" t="s">
        <v>40</v>
      </c>
      <c r="Q34" s="23">
        <v>44678.57540509259</v>
      </c>
      <c r="R34" s="22" t="s">
        <v>40</v>
      </c>
      <c r="S34" s="23">
        <v>44679.45416666667</v>
      </c>
    </row>
    <row r="35" spans="1:19" ht="39.6">
      <c r="A35" s="20">
        <v>25</v>
      </c>
      <c r="B35" s="21" t="s">
        <v>42</v>
      </c>
      <c r="C35" s="21" t="s">
        <v>122</v>
      </c>
      <c r="D35" s="21" t="s">
        <v>11</v>
      </c>
      <c r="E35" s="21" t="s">
        <v>24</v>
      </c>
      <c r="F35" s="18"/>
      <c r="G35" s="18" t="s">
        <v>123</v>
      </c>
      <c r="H35" s="18" t="s">
        <v>108</v>
      </c>
      <c r="I35" s="18" t="s">
        <v>179</v>
      </c>
      <c r="J35" s="18" t="s">
        <v>114</v>
      </c>
      <c r="K35" s="18" t="s">
        <v>121</v>
      </c>
      <c r="L35" s="18" t="s">
        <v>180</v>
      </c>
      <c r="M35" s="22"/>
      <c r="N35" s="22"/>
      <c r="O35" s="22" t="s">
        <v>40</v>
      </c>
      <c r="P35" s="21" t="s">
        <v>40</v>
      </c>
      <c r="Q35" s="23">
        <v>44678.579004629632</v>
      </c>
      <c r="R35" s="22" t="s">
        <v>40</v>
      </c>
      <c r="S35" s="23">
        <v>44679.462500000001</v>
      </c>
    </row>
    <row r="36" spans="1:19" ht="39.6">
      <c r="A36" s="20">
        <v>26</v>
      </c>
      <c r="B36" s="21" t="s">
        <v>42</v>
      </c>
      <c r="C36" s="21" t="s">
        <v>126</v>
      </c>
      <c r="D36" s="21" t="s">
        <v>11</v>
      </c>
      <c r="E36" s="21" t="s">
        <v>24</v>
      </c>
      <c r="F36" s="18"/>
      <c r="G36" s="18" t="s">
        <v>127</v>
      </c>
      <c r="H36" s="18" t="s">
        <v>108</v>
      </c>
      <c r="I36" s="18" t="s">
        <v>179</v>
      </c>
      <c r="J36" s="18" t="s">
        <v>114</v>
      </c>
      <c r="K36" s="18" t="s">
        <v>121</v>
      </c>
      <c r="L36" s="18" t="s">
        <v>181</v>
      </c>
      <c r="M36" s="22"/>
      <c r="N36" s="22"/>
      <c r="O36" s="22" t="s">
        <v>40</v>
      </c>
      <c r="P36" s="21" t="s">
        <v>40</v>
      </c>
      <c r="Q36" s="23">
        <v>44678.643113425926</v>
      </c>
      <c r="R36" s="22" t="s">
        <v>40</v>
      </c>
      <c r="S36" s="23">
        <v>44679.465277777781</v>
      </c>
    </row>
    <row r="37" spans="1:19" ht="39.6">
      <c r="A37" s="20">
        <v>27</v>
      </c>
      <c r="B37" s="21" t="s">
        <v>42</v>
      </c>
      <c r="C37" s="21" t="s">
        <v>128</v>
      </c>
      <c r="D37" s="21" t="s">
        <v>11</v>
      </c>
      <c r="E37" s="21" t="s">
        <v>24</v>
      </c>
      <c r="F37" s="18"/>
      <c r="G37" s="18" t="s">
        <v>129</v>
      </c>
      <c r="H37" s="18" t="s">
        <v>108</v>
      </c>
      <c r="I37" s="18"/>
      <c r="J37" s="18" t="s">
        <v>130</v>
      </c>
      <c r="K37" s="18" t="s">
        <v>131</v>
      </c>
      <c r="L37" s="18" t="s">
        <v>180</v>
      </c>
      <c r="M37" s="22"/>
      <c r="N37" s="22"/>
      <c r="O37" s="22" t="s">
        <v>40</v>
      </c>
      <c r="P37" s="21" t="s">
        <v>40</v>
      </c>
      <c r="Q37" s="23">
        <v>44678.64576388889</v>
      </c>
      <c r="R37" s="22" t="s">
        <v>40</v>
      </c>
      <c r="S37" s="23">
        <v>44679.46597222222</v>
      </c>
    </row>
    <row r="38" spans="1:19" ht="79.2">
      <c r="A38" s="20">
        <v>28</v>
      </c>
      <c r="B38" s="21" t="s">
        <v>42</v>
      </c>
      <c r="C38" s="21" t="s">
        <v>134</v>
      </c>
      <c r="D38" s="21" t="s">
        <v>8</v>
      </c>
      <c r="E38" s="21" t="s">
        <v>23</v>
      </c>
      <c r="F38" s="18"/>
      <c r="G38" s="18" t="s">
        <v>135</v>
      </c>
      <c r="H38" s="18" t="s">
        <v>111</v>
      </c>
      <c r="I38" s="18" t="s">
        <v>173</v>
      </c>
      <c r="J38" s="18" t="s">
        <v>136</v>
      </c>
      <c r="K38" s="18" t="s">
        <v>137</v>
      </c>
      <c r="L38" s="18" t="s">
        <v>182</v>
      </c>
      <c r="M38" s="42" t="s">
        <v>183</v>
      </c>
      <c r="N38" s="22"/>
      <c r="O38" s="22" t="s">
        <v>40</v>
      </c>
      <c r="P38" s="21" t="s">
        <v>40</v>
      </c>
      <c r="Q38" s="23">
        <v>44678.649641203701</v>
      </c>
      <c r="R38" s="22" t="s">
        <v>40</v>
      </c>
      <c r="S38" s="23">
        <v>44679.469444444447</v>
      </c>
    </row>
    <row r="39" spans="1:19" ht="39.6">
      <c r="A39" s="20">
        <v>29</v>
      </c>
      <c r="B39" s="21" t="s">
        <v>42</v>
      </c>
      <c r="C39" s="21" t="s">
        <v>138</v>
      </c>
      <c r="D39" s="21" t="s">
        <v>8</v>
      </c>
      <c r="E39" s="21" t="s">
        <v>20</v>
      </c>
      <c r="F39" s="18"/>
      <c r="G39" s="18" t="s">
        <v>139</v>
      </c>
      <c r="H39" s="18" t="s">
        <v>111</v>
      </c>
      <c r="I39" s="18" t="s">
        <v>113</v>
      </c>
      <c r="J39" s="18" t="s">
        <v>140</v>
      </c>
      <c r="K39" s="18" t="s">
        <v>141</v>
      </c>
      <c r="L39" s="18"/>
      <c r="M39" s="22"/>
      <c r="N39" s="22"/>
      <c r="O39" s="22" t="s">
        <v>40</v>
      </c>
      <c r="P39" s="21" t="s">
        <v>40</v>
      </c>
      <c r="Q39" s="23">
        <v>44678.655312499999</v>
      </c>
      <c r="R39" s="22"/>
      <c r="S39" s="23"/>
    </row>
    <row r="40" spans="1:19" ht="224.4">
      <c r="A40" s="20">
        <v>30</v>
      </c>
      <c r="B40" s="21" t="s">
        <v>41</v>
      </c>
      <c r="C40" s="21" t="s">
        <v>46</v>
      </c>
      <c r="D40" s="21" t="s">
        <v>8</v>
      </c>
      <c r="E40" s="21" t="s">
        <v>24</v>
      </c>
      <c r="F40" s="18"/>
      <c r="G40" s="18" t="s">
        <v>169</v>
      </c>
      <c r="H40" s="18" t="s">
        <v>47</v>
      </c>
      <c r="I40" s="18"/>
      <c r="J40" s="18" t="s">
        <v>170</v>
      </c>
      <c r="K40" s="18" t="s">
        <v>49</v>
      </c>
      <c r="L40" s="18" t="s">
        <v>171</v>
      </c>
      <c r="M40" s="22"/>
      <c r="N40" s="22"/>
      <c r="O40" s="22" t="s">
        <v>40</v>
      </c>
      <c r="P40" s="21" t="s">
        <v>40</v>
      </c>
      <c r="Q40" s="23">
        <v>44678.625</v>
      </c>
      <c r="R40" s="22" t="s">
        <v>40</v>
      </c>
      <c r="S40" s="23">
        <v>44678.628472222219</v>
      </c>
    </row>
    <row r="41" spans="1:19" ht="79.2">
      <c r="A41" s="20">
        <v>31</v>
      </c>
      <c r="B41" s="21" t="s">
        <v>42</v>
      </c>
      <c r="C41" s="21" t="s">
        <v>108</v>
      </c>
      <c r="D41" s="21" t="s">
        <v>8</v>
      </c>
      <c r="E41" s="21" t="s">
        <v>24</v>
      </c>
      <c r="F41" s="18"/>
      <c r="G41" s="18" t="s">
        <v>109</v>
      </c>
      <c r="H41" s="18" t="s">
        <v>46</v>
      </c>
      <c r="I41" s="18"/>
      <c r="J41" s="18" t="s">
        <v>125</v>
      </c>
      <c r="K41" s="18" t="s">
        <v>133</v>
      </c>
      <c r="L41" s="18" t="s">
        <v>172</v>
      </c>
      <c r="M41" s="22"/>
      <c r="N41" s="22"/>
      <c r="O41" s="22" t="s">
        <v>40</v>
      </c>
      <c r="P41" s="21" t="s">
        <v>40</v>
      </c>
      <c r="Q41" s="23">
        <v>44680.427673611113</v>
      </c>
      <c r="R41" s="22" t="s">
        <v>40</v>
      </c>
      <c r="S41" s="23">
        <v>44680.427673611113</v>
      </c>
    </row>
    <row r="42" spans="1:19" ht="39.6">
      <c r="A42" s="20">
        <v>32</v>
      </c>
      <c r="B42" s="21" t="s">
        <v>43</v>
      </c>
      <c r="C42" s="21" t="s">
        <v>185</v>
      </c>
      <c r="D42" s="21" t="s">
        <v>8</v>
      </c>
      <c r="E42" s="21" t="s">
        <v>23</v>
      </c>
      <c r="F42" s="18"/>
      <c r="G42" s="18" t="s">
        <v>186</v>
      </c>
      <c r="H42" s="18" t="s">
        <v>202</v>
      </c>
      <c r="I42" s="18" t="s">
        <v>173</v>
      </c>
      <c r="J42" s="18"/>
      <c r="K42" s="18" t="s">
        <v>187</v>
      </c>
      <c r="L42" s="18" t="s">
        <v>331</v>
      </c>
      <c r="M42" s="22"/>
      <c r="N42" s="22"/>
      <c r="O42" s="22" t="s">
        <v>40</v>
      </c>
      <c r="P42" s="21" t="s">
        <v>40</v>
      </c>
      <c r="Q42" s="23">
        <v>44681.445752314816</v>
      </c>
      <c r="R42" s="22" t="s">
        <v>40</v>
      </c>
      <c r="S42" s="23">
        <v>44684.487500000003</v>
      </c>
    </row>
    <row r="43" spans="1:19" ht="39.6">
      <c r="A43" s="20">
        <v>33</v>
      </c>
      <c r="B43" s="21" t="s">
        <v>43</v>
      </c>
      <c r="C43" s="21" t="s">
        <v>188</v>
      </c>
      <c r="D43" s="21" t="s">
        <v>8</v>
      </c>
      <c r="E43" s="21" t="s">
        <v>25</v>
      </c>
      <c r="F43" s="18"/>
      <c r="G43" s="18" t="s">
        <v>189</v>
      </c>
      <c r="H43" s="18" t="s">
        <v>185</v>
      </c>
      <c r="I43" s="18" t="s">
        <v>173</v>
      </c>
      <c r="J43" s="18" t="s">
        <v>190</v>
      </c>
      <c r="K43" s="18" t="s">
        <v>191</v>
      </c>
      <c r="L43" s="18"/>
      <c r="M43" s="22"/>
      <c r="N43" s="22"/>
      <c r="O43" s="22" t="s">
        <v>40</v>
      </c>
      <c r="P43" s="21" t="s">
        <v>40</v>
      </c>
      <c r="Q43" s="23">
        <v>44681.452210648145</v>
      </c>
      <c r="R43" s="22"/>
      <c r="S43" s="23"/>
    </row>
    <row r="44" spans="1:19" ht="39.6">
      <c r="A44" s="20">
        <v>34</v>
      </c>
      <c r="B44" s="21" t="s">
        <v>43</v>
      </c>
      <c r="C44" s="21" t="s">
        <v>192</v>
      </c>
      <c r="D44" s="21" t="s">
        <v>8</v>
      </c>
      <c r="E44" s="21" t="s">
        <v>23</v>
      </c>
      <c r="F44" s="18"/>
      <c r="G44" s="18" t="s">
        <v>193</v>
      </c>
      <c r="H44" s="18" t="s">
        <v>185</v>
      </c>
      <c r="I44" s="18" t="s">
        <v>173</v>
      </c>
      <c r="J44" s="18" t="s">
        <v>194</v>
      </c>
      <c r="K44" s="18" t="s">
        <v>195</v>
      </c>
      <c r="L44" s="18" t="s">
        <v>332</v>
      </c>
      <c r="M44" s="22"/>
      <c r="N44" s="22"/>
      <c r="O44" s="22" t="s">
        <v>40</v>
      </c>
      <c r="P44" s="21" t="s">
        <v>40</v>
      </c>
      <c r="Q44" s="23">
        <v>44681.485277777778</v>
      </c>
      <c r="R44" s="22" t="s">
        <v>40</v>
      </c>
      <c r="S44" s="23">
        <v>44684.656944444447</v>
      </c>
    </row>
    <row r="45" spans="1:19" ht="39.6">
      <c r="A45" s="20">
        <v>35</v>
      </c>
      <c r="B45" s="21" t="s">
        <v>43</v>
      </c>
      <c r="C45" s="21" t="s">
        <v>196</v>
      </c>
      <c r="D45" s="21" t="s">
        <v>8</v>
      </c>
      <c r="E45" s="21" t="s">
        <v>23</v>
      </c>
      <c r="F45" s="18"/>
      <c r="G45" s="18" t="s">
        <v>197</v>
      </c>
      <c r="H45" s="18" t="s">
        <v>185</v>
      </c>
      <c r="I45" s="18" t="s">
        <v>173</v>
      </c>
      <c r="J45" s="18" t="s">
        <v>198</v>
      </c>
      <c r="K45" s="18" t="s">
        <v>199</v>
      </c>
      <c r="L45" s="18" t="s">
        <v>334</v>
      </c>
      <c r="M45" s="22"/>
      <c r="N45" s="22"/>
      <c r="O45" s="22" t="s">
        <v>40</v>
      </c>
      <c r="P45" s="21" t="s">
        <v>40</v>
      </c>
      <c r="Q45" s="23">
        <v>44681.488680555558</v>
      </c>
      <c r="R45" s="22" t="s">
        <v>40</v>
      </c>
      <c r="S45" s="23">
        <v>44684.67291666667</v>
      </c>
    </row>
    <row r="46" spans="1:19" ht="39.6">
      <c r="A46" s="20">
        <v>36</v>
      </c>
      <c r="B46" s="21" t="s">
        <v>43</v>
      </c>
      <c r="C46" s="21" t="s">
        <v>200</v>
      </c>
      <c r="D46" s="21" t="s">
        <v>8</v>
      </c>
      <c r="E46" s="21" t="s">
        <v>23</v>
      </c>
      <c r="F46" s="18"/>
      <c r="G46" s="18" t="s">
        <v>201</v>
      </c>
      <c r="H46" s="18" t="s">
        <v>185</v>
      </c>
      <c r="I46" s="18" t="s">
        <v>173</v>
      </c>
      <c r="J46" s="18" t="s">
        <v>203</v>
      </c>
      <c r="K46" s="18" t="s">
        <v>204</v>
      </c>
      <c r="L46" s="18" t="s">
        <v>333</v>
      </c>
      <c r="M46" s="22"/>
      <c r="N46" s="22"/>
      <c r="O46" s="22" t="s">
        <v>40</v>
      </c>
      <c r="P46" s="21" t="s">
        <v>40</v>
      </c>
      <c r="Q46" s="23">
        <v>44681.492592592593</v>
      </c>
      <c r="R46" s="22" t="s">
        <v>40</v>
      </c>
      <c r="S46" s="23">
        <v>44684.89166666667</v>
      </c>
    </row>
    <row r="47" spans="1:19" ht="39.6">
      <c r="A47" s="20">
        <v>37</v>
      </c>
      <c r="B47" s="21" t="s">
        <v>43</v>
      </c>
      <c r="C47" s="21" t="s">
        <v>205</v>
      </c>
      <c r="D47" s="21" t="s">
        <v>8</v>
      </c>
      <c r="E47" s="21" t="s">
        <v>23</v>
      </c>
      <c r="F47" s="18"/>
      <c r="G47" s="45" t="s">
        <v>206</v>
      </c>
      <c r="H47" s="18" t="s">
        <v>185</v>
      </c>
      <c r="I47" s="18" t="s">
        <v>243</v>
      </c>
      <c r="J47" s="18" t="s">
        <v>207</v>
      </c>
      <c r="K47" s="45" t="s">
        <v>208</v>
      </c>
      <c r="L47" s="45" t="s">
        <v>335</v>
      </c>
      <c r="M47" s="22"/>
      <c r="N47" s="22"/>
      <c r="O47" s="22" t="s">
        <v>40</v>
      </c>
      <c r="P47" s="21" t="s">
        <v>40</v>
      </c>
      <c r="Q47" s="23">
        <v>44681.495775462965</v>
      </c>
      <c r="R47" s="22" t="s">
        <v>40</v>
      </c>
      <c r="S47" s="23">
        <v>44684.895138888889</v>
      </c>
    </row>
    <row r="48" spans="1:19" ht="52.8">
      <c r="A48" s="20">
        <v>38</v>
      </c>
      <c r="B48" s="21" t="s">
        <v>43</v>
      </c>
      <c r="C48" s="21" t="s">
        <v>209</v>
      </c>
      <c r="D48" s="21" t="s">
        <v>8</v>
      </c>
      <c r="E48" s="21" t="s">
        <v>24</v>
      </c>
      <c r="F48" s="18"/>
      <c r="G48" s="44" t="s">
        <v>210</v>
      </c>
      <c r="H48" s="18" t="s">
        <v>185</v>
      </c>
      <c r="I48" s="18" t="s">
        <v>285</v>
      </c>
      <c r="J48" s="18" t="s">
        <v>211</v>
      </c>
      <c r="K48" s="44" t="s">
        <v>212</v>
      </c>
      <c r="L48" s="18" t="s">
        <v>330</v>
      </c>
      <c r="M48" s="22"/>
      <c r="N48" s="22"/>
      <c r="O48" s="22" t="s">
        <v>40</v>
      </c>
      <c r="P48" s="21" t="s">
        <v>40</v>
      </c>
      <c r="Q48" s="23">
        <v>44681.499224537038</v>
      </c>
      <c r="R48" s="22" t="s">
        <v>40</v>
      </c>
      <c r="S48" s="23">
        <v>44684.908333333333</v>
      </c>
    </row>
    <row r="49" spans="1:19" ht="52.8">
      <c r="A49" s="20">
        <v>39</v>
      </c>
      <c r="B49" s="21" t="s">
        <v>43</v>
      </c>
      <c r="C49" s="21" t="s">
        <v>213</v>
      </c>
      <c r="D49" s="21" t="s">
        <v>8</v>
      </c>
      <c r="E49" s="21" t="s">
        <v>23</v>
      </c>
      <c r="F49" s="18"/>
      <c r="G49" s="44" t="s">
        <v>230</v>
      </c>
      <c r="H49" s="18" t="s">
        <v>185</v>
      </c>
      <c r="I49" s="18" t="s">
        <v>245</v>
      </c>
      <c r="J49" s="18" t="s">
        <v>214</v>
      </c>
      <c r="K49" s="43" t="s">
        <v>215</v>
      </c>
      <c r="L49" s="43" t="s">
        <v>336</v>
      </c>
      <c r="M49" s="22"/>
      <c r="N49" s="22"/>
      <c r="O49" s="22" t="s">
        <v>40</v>
      </c>
      <c r="P49" s="21" t="s">
        <v>40</v>
      </c>
      <c r="Q49" s="23">
        <v>44681.501875000002</v>
      </c>
      <c r="R49" s="22" t="s">
        <v>40</v>
      </c>
      <c r="S49" s="23">
        <v>44684.915972222225</v>
      </c>
    </row>
    <row r="50" spans="1:19" ht="26.4">
      <c r="A50" s="20">
        <v>40</v>
      </c>
      <c r="B50" s="21" t="s">
        <v>43</v>
      </c>
      <c r="C50" s="21" t="s">
        <v>216</v>
      </c>
      <c r="D50" s="21" t="s">
        <v>8</v>
      </c>
      <c r="E50" s="21" t="s">
        <v>20</v>
      </c>
      <c r="F50" s="18"/>
      <c r="G50" s="44" t="s">
        <v>217</v>
      </c>
      <c r="H50" s="18" t="s">
        <v>185</v>
      </c>
      <c r="I50" s="18" t="s">
        <v>173</v>
      </c>
      <c r="J50" s="18" t="s">
        <v>218</v>
      </c>
      <c r="K50" s="44" t="s">
        <v>219</v>
      </c>
      <c r="L50" s="18"/>
      <c r="M50" s="22"/>
      <c r="N50" s="22"/>
      <c r="O50" s="22" t="s">
        <v>40</v>
      </c>
      <c r="P50" s="21" t="s">
        <v>40</v>
      </c>
      <c r="Q50" s="23">
        <v>44681.503831018519</v>
      </c>
      <c r="R50" s="22"/>
      <c r="S50" s="23"/>
    </row>
    <row r="51" spans="1:19" ht="39.6">
      <c r="A51" s="20">
        <v>41</v>
      </c>
      <c r="B51" s="21" t="s">
        <v>43</v>
      </c>
      <c r="C51" s="21" t="s">
        <v>220</v>
      </c>
      <c r="D51" s="21" t="s">
        <v>8</v>
      </c>
      <c r="E51" s="21" t="s">
        <v>20</v>
      </c>
      <c r="F51" s="18"/>
      <c r="G51" s="44" t="s">
        <v>231</v>
      </c>
      <c r="H51" s="18" t="s">
        <v>185</v>
      </c>
      <c r="I51" s="18" t="s">
        <v>246</v>
      </c>
      <c r="J51" s="18" t="s">
        <v>222</v>
      </c>
      <c r="K51" s="44" t="s">
        <v>221</v>
      </c>
      <c r="L51" s="18"/>
      <c r="M51" s="22"/>
      <c r="N51" s="22"/>
      <c r="O51" s="22" t="s">
        <v>40</v>
      </c>
      <c r="P51" s="21" t="s">
        <v>40</v>
      </c>
      <c r="Q51" s="23">
        <v>44681.506597222222</v>
      </c>
      <c r="R51" s="22"/>
      <c r="S51" s="23"/>
    </row>
    <row r="52" spans="1:19" ht="52.8">
      <c r="A52" s="20">
        <v>42</v>
      </c>
      <c r="B52" s="21" t="s">
        <v>43</v>
      </c>
      <c r="C52" s="21" t="s">
        <v>223</v>
      </c>
      <c r="D52" s="21" t="s">
        <v>8</v>
      </c>
      <c r="E52" s="21" t="s">
        <v>20</v>
      </c>
      <c r="F52" s="18"/>
      <c r="G52" s="44" t="s">
        <v>278</v>
      </c>
      <c r="H52" s="18" t="s">
        <v>185</v>
      </c>
      <c r="I52" s="18" t="s">
        <v>227</v>
      </c>
      <c r="J52" s="18" t="s">
        <v>225</v>
      </c>
      <c r="K52" s="44" t="s">
        <v>279</v>
      </c>
      <c r="L52" s="18"/>
      <c r="M52" s="22"/>
      <c r="N52" s="22"/>
      <c r="O52" s="22" t="s">
        <v>40</v>
      </c>
      <c r="P52" s="21" t="s">
        <v>40</v>
      </c>
      <c r="Q52" s="23">
        <v>44681.508715277778</v>
      </c>
      <c r="R52" s="22"/>
      <c r="S52" s="23"/>
    </row>
    <row r="53" spans="1:19" ht="66">
      <c r="A53" s="20">
        <v>43</v>
      </c>
      <c r="B53" s="21" t="s">
        <v>43</v>
      </c>
      <c r="C53" s="21" t="s">
        <v>226</v>
      </c>
      <c r="D53" s="21" t="s">
        <v>8</v>
      </c>
      <c r="E53" s="21" t="s">
        <v>20</v>
      </c>
      <c r="F53" s="18"/>
      <c r="G53" s="44" t="s">
        <v>268</v>
      </c>
      <c r="H53" s="18" t="s">
        <v>185</v>
      </c>
      <c r="I53" s="18" t="s">
        <v>247</v>
      </c>
      <c r="J53" s="18" t="s">
        <v>228</v>
      </c>
      <c r="K53" s="44" t="s">
        <v>269</v>
      </c>
      <c r="L53" s="18"/>
      <c r="M53" s="22"/>
      <c r="N53" s="22"/>
      <c r="O53" s="22" t="s">
        <v>40</v>
      </c>
      <c r="P53" s="21" t="s">
        <v>40</v>
      </c>
      <c r="Q53" s="23">
        <v>44681.512453703705</v>
      </c>
      <c r="R53" s="22"/>
      <c r="S53" s="23"/>
    </row>
    <row r="54" spans="1:19" ht="52.8">
      <c r="A54" s="20">
        <v>44</v>
      </c>
      <c r="B54" s="21" t="s">
        <v>43</v>
      </c>
      <c r="C54" s="21" t="s">
        <v>229</v>
      </c>
      <c r="D54" s="21" t="s">
        <v>8</v>
      </c>
      <c r="E54" s="21" t="s">
        <v>20</v>
      </c>
      <c r="F54" s="18"/>
      <c r="G54" s="44" t="s">
        <v>232</v>
      </c>
      <c r="H54" s="18" t="s">
        <v>185</v>
      </c>
      <c r="I54" s="18" t="s">
        <v>248</v>
      </c>
      <c r="J54" s="18" t="s">
        <v>233</v>
      </c>
      <c r="K54" s="43" t="s">
        <v>234</v>
      </c>
      <c r="L54" s="18"/>
      <c r="M54" s="22"/>
      <c r="N54" s="22"/>
      <c r="O54" s="22" t="s">
        <v>40</v>
      </c>
      <c r="P54" s="21" t="s">
        <v>40</v>
      </c>
      <c r="Q54" s="23">
        <v>44681.515069444446</v>
      </c>
      <c r="R54" s="22"/>
      <c r="S54" s="23"/>
    </row>
    <row r="55" spans="1:19" ht="52.8">
      <c r="A55" s="20">
        <v>45</v>
      </c>
      <c r="B55" s="21" t="s">
        <v>43</v>
      </c>
      <c r="C55" s="21" t="s">
        <v>238</v>
      </c>
      <c r="D55" s="21" t="s">
        <v>8</v>
      </c>
      <c r="E55" s="21" t="s">
        <v>20</v>
      </c>
      <c r="F55" s="18"/>
      <c r="G55" s="44" t="s">
        <v>235</v>
      </c>
      <c r="H55" s="18" t="s">
        <v>185</v>
      </c>
      <c r="I55" s="18" t="s">
        <v>304</v>
      </c>
      <c r="J55" s="18" t="s">
        <v>236</v>
      </c>
      <c r="K55" s="43" t="s">
        <v>237</v>
      </c>
      <c r="L55" s="18"/>
      <c r="M55" s="22"/>
      <c r="N55" s="22"/>
      <c r="O55" s="22" t="s">
        <v>40</v>
      </c>
      <c r="P55" s="21" t="s">
        <v>40</v>
      </c>
      <c r="Q55" s="23">
        <v>44681.520439814813</v>
      </c>
      <c r="R55" s="22"/>
      <c r="S55" s="23"/>
    </row>
    <row r="56" spans="1:19" ht="118.8">
      <c r="A56" s="20">
        <v>46</v>
      </c>
      <c r="B56" s="21" t="s">
        <v>43</v>
      </c>
      <c r="C56" s="21" t="s">
        <v>239</v>
      </c>
      <c r="D56" s="21" t="s">
        <v>8</v>
      </c>
      <c r="E56" s="21" t="s">
        <v>20</v>
      </c>
      <c r="F56" s="18"/>
      <c r="G56" s="44" t="s">
        <v>240</v>
      </c>
      <c r="H56" s="18" t="s">
        <v>185</v>
      </c>
      <c r="I56" s="18" t="s">
        <v>322</v>
      </c>
      <c r="J56" s="18" t="s">
        <v>241</v>
      </c>
      <c r="K56" s="43" t="s">
        <v>242</v>
      </c>
      <c r="L56" s="18"/>
      <c r="M56" s="22"/>
      <c r="N56" s="22"/>
      <c r="O56" s="22" t="s">
        <v>40</v>
      </c>
      <c r="P56" s="21" t="s">
        <v>40</v>
      </c>
      <c r="Q56" s="23">
        <v>44681.522175925929</v>
      </c>
      <c r="R56" s="22"/>
      <c r="S56" s="23"/>
    </row>
    <row r="57" spans="1:19" ht="39.6">
      <c r="A57" s="20">
        <v>47</v>
      </c>
      <c r="B57" s="21" t="s">
        <v>43</v>
      </c>
      <c r="C57" s="21" t="s">
        <v>249</v>
      </c>
      <c r="D57" s="21" t="s">
        <v>8</v>
      </c>
      <c r="E57" s="21" t="s">
        <v>20</v>
      </c>
      <c r="F57" s="18"/>
      <c r="G57" s="44" t="s">
        <v>250</v>
      </c>
      <c r="H57" s="18" t="s">
        <v>185</v>
      </c>
      <c r="I57" s="18" t="s">
        <v>173</v>
      </c>
      <c r="J57" s="18" t="s">
        <v>254</v>
      </c>
      <c r="K57" s="43" t="s">
        <v>251</v>
      </c>
      <c r="L57" s="18"/>
      <c r="M57" s="22"/>
      <c r="N57" s="22"/>
      <c r="O57" s="22" t="s">
        <v>40</v>
      </c>
      <c r="P57" s="21" t="s">
        <v>40</v>
      </c>
      <c r="Q57" s="23">
        <v>44681.547615740739</v>
      </c>
      <c r="R57" s="22"/>
      <c r="S57" s="23"/>
    </row>
    <row r="58" spans="1:19" ht="39.6">
      <c r="A58" s="20">
        <v>48</v>
      </c>
      <c r="B58" s="21" t="s">
        <v>43</v>
      </c>
      <c r="C58" s="21" t="s">
        <v>252</v>
      </c>
      <c r="D58" s="21" t="s">
        <v>8</v>
      </c>
      <c r="E58" s="21" t="s">
        <v>20</v>
      </c>
      <c r="F58" s="18"/>
      <c r="G58" s="44" t="s">
        <v>255</v>
      </c>
      <c r="H58" s="18" t="s">
        <v>185</v>
      </c>
      <c r="I58" s="18" t="s">
        <v>173</v>
      </c>
      <c r="J58" s="18" t="s">
        <v>253</v>
      </c>
      <c r="K58" s="43" t="s">
        <v>256</v>
      </c>
      <c r="L58" s="18"/>
      <c r="M58" s="22"/>
      <c r="N58" s="22"/>
      <c r="O58" s="22" t="s">
        <v>40</v>
      </c>
      <c r="P58" s="21" t="s">
        <v>40</v>
      </c>
      <c r="Q58" s="23">
        <v>44681.55023148148</v>
      </c>
      <c r="R58" s="22"/>
      <c r="S58" s="23"/>
    </row>
    <row r="59" spans="1:19" ht="79.2">
      <c r="A59" s="20">
        <v>49</v>
      </c>
      <c r="B59" s="21" t="s">
        <v>43</v>
      </c>
      <c r="C59" s="21" t="s">
        <v>257</v>
      </c>
      <c r="D59" s="21" t="s">
        <v>8</v>
      </c>
      <c r="E59" s="21" t="s">
        <v>20</v>
      </c>
      <c r="F59" s="18"/>
      <c r="G59" s="44" t="s">
        <v>258</v>
      </c>
      <c r="H59" s="18" t="s">
        <v>185</v>
      </c>
      <c r="I59" s="18" t="s">
        <v>259</v>
      </c>
      <c r="J59" s="18" t="s">
        <v>260</v>
      </c>
      <c r="K59" s="43" t="s">
        <v>261</v>
      </c>
      <c r="L59" s="18"/>
      <c r="M59" s="22"/>
      <c r="N59" s="22"/>
      <c r="O59" s="22" t="s">
        <v>40</v>
      </c>
      <c r="P59" s="21" t="s">
        <v>40</v>
      </c>
      <c r="Q59" s="23">
        <v>44681.552106481482</v>
      </c>
      <c r="R59" s="22"/>
      <c r="S59" s="23"/>
    </row>
    <row r="60" spans="1:19" ht="39.6">
      <c r="A60" s="20">
        <v>50</v>
      </c>
      <c r="B60" s="21" t="s">
        <v>43</v>
      </c>
      <c r="C60" s="21" t="s">
        <v>262</v>
      </c>
      <c r="D60" s="21" t="s">
        <v>8</v>
      </c>
      <c r="E60" s="21" t="s">
        <v>20</v>
      </c>
      <c r="F60" s="18"/>
      <c r="G60" s="44" t="s">
        <v>263</v>
      </c>
      <c r="H60" s="18" t="s">
        <v>257</v>
      </c>
      <c r="I60" s="18" t="s">
        <v>259</v>
      </c>
      <c r="J60" s="18" t="s">
        <v>264</v>
      </c>
      <c r="K60" s="43" t="s">
        <v>265</v>
      </c>
      <c r="L60" s="18"/>
      <c r="M60" s="22"/>
      <c r="N60" s="22"/>
      <c r="O60" s="22" t="s">
        <v>40</v>
      </c>
      <c r="P60" s="21" t="s">
        <v>40</v>
      </c>
      <c r="Q60" s="23">
        <v>44681.555173611108</v>
      </c>
      <c r="R60" s="22"/>
      <c r="S60" s="23"/>
    </row>
    <row r="61" spans="1:19" ht="250.8">
      <c r="A61" s="20">
        <v>51</v>
      </c>
      <c r="B61" s="21" t="s">
        <v>43</v>
      </c>
      <c r="C61" s="21" t="s">
        <v>266</v>
      </c>
      <c r="D61" s="21" t="s">
        <v>8</v>
      </c>
      <c r="E61" s="21" t="s">
        <v>20</v>
      </c>
      <c r="F61" s="18"/>
      <c r="G61" s="44" t="s">
        <v>318</v>
      </c>
      <c r="H61" s="18" t="s">
        <v>185</v>
      </c>
      <c r="I61" s="18" t="s">
        <v>173</v>
      </c>
      <c r="J61" s="18"/>
      <c r="K61" s="43" t="s">
        <v>267</v>
      </c>
      <c r="L61" s="18"/>
      <c r="M61" s="22"/>
      <c r="N61" s="22"/>
      <c r="O61" s="22" t="s">
        <v>40</v>
      </c>
      <c r="P61" s="21" t="s">
        <v>40</v>
      </c>
      <c r="Q61" s="23">
        <v>44681.557743055557</v>
      </c>
      <c r="R61" s="22"/>
      <c r="S61" s="23"/>
    </row>
    <row r="62" spans="1:19" ht="39.6">
      <c r="A62" s="20">
        <v>52</v>
      </c>
      <c r="B62" s="21" t="s">
        <v>43</v>
      </c>
      <c r="C62" s="21" t="s">
        <v>270</v>
      </c>
      <c r="D62" s="21" t="s">
        <v>8</v>
      </c>
      <c r="E62" s="21" t="s">
        <v>20</v>
      </c>
      <c r="F62" s="18"/>
      <c r="G62" s="44" t="s">
        <v>271</v>
      </c>
      <c r="H62" s="18" t="s">
        <v>185</v>
      </c>
      <c r="I62" s="18" t="s">
        <v>224</v>
      </c>
      <c r="J62" s="18" t="s">
        <v>272</v>
      </c>
      <c r="K62" s="43" t="s">
        <v>273</v>
      </c>
      <c r="L62" s="18"/>
      <c r="M62" s="22"/>
      <c r="N62" s="22"/>
      <c r="O62" s="22" t="s">
        <v>40</v>
      </c>
      <c r="P62" s="21" t="s">
        <v>40</v>
      </c>
      <c r="Q62" s="23">
        <v>44681.565185185187</v>
      </c>
      <c r="R62" s="22"/>
      <c r="S62" s="23"/>
    </row>
    <row r="63" spans="1:19" ht="52.8">
      <c r="A63" s="20">
        <v>53</v>
      </c>
      <c r="B63" s="21" t="s">
        <v>43</v>
      </c>
      <c r="C63" s="21" t="s">
        <v>274</v>
      </c>
      <c r="D63" s="21" t="s">
        <v>8</v>
      </c>
      <c r="E63" s="21" t="s">
        <v>20</v>
      </c>
      <c r="F63" s="18"/>
      <c r="G63" s="44" t="s">
        <v>275</v>
      </c>
      <c r="H63" s="18" t="s">
        <v>185</v>
      </c>
      <c r="I63" s="18" t="s">
        <v>173</v>
      </c>
      <c r="J63" s="18" t="s">
        <v>276</v>
      </c>
      <c r="K63" s="43" t="s">
        <v>273</v>
      </c>
      <c r="L63" s="18"/>
      <c r="M63" s="22"/>
      <c r="N63" s="22"/>
      <c r="O63" s="22" t="s">
        <v>40</v>
      </c>
      <c r="P63" s="21" t="s">
        <v>40</v>
      </c>
      <c r="Q63" s="23">
        <v>44681.569826388892</v>
      </c>
      <c r="R63" s="22"/>
      <c r="S63" s="23"/>
    </row>
    <row r="64" spans="1:19" ht="39.6">
      <c r="A64" s="20">
        <v>54</v>
      </c>
      <c r="B64" s="21" t="s">
        <v>43</v>
      </c>
      <c r="C64" s="21" t="s">
        <v>277</v>
      </c>
      <c r="D64" s="21" t="s">
        <v>8</v>
      </c>
      <c r="E64" s="21" t="s">
        <v>20</v>
      </c>
      <c r="F64" s="18"/>
      <c r="G64" s="44" t="s">
        <v>280</v>
      </c>
      <c r="H64" s="18" t="s">
        <v>185</v>
      </c>
      <c r="I64" s="18" t="s">
        <v>173</v>
      </c>
      <c r="J64" s="18" t="s">
        <v>281</v>
      </c>
      <c r="K64" s="44" t="s">
        <v>282</v>
      </c>
      <c r="L64" s="18"/>
      <c r="M64" s="22"/>
      <c r="N64" s="22"/>
      <c r="O64" s="22" t="s">
        <v>40</v>
      </c>
      <c r="P64" s="21" t="s">
        <v>40</v>
      </c>
      <c r="Q64" s="23">
        <v>44681.571087962962</v>
      </c>
      <c r="R64" s="22"/>
      <c r="S64" s="23"/>
    </row>
    <row r="65" spans="1:19" ht="79.2">
      <c r="A65" s="20">
        <v>55</v>
      </c>
      <c r="B65" s="21" t="s">
        <v>43</v>
      </c>
      <c r="C65" s="21" t="s">
        <v>283</v>
      </c>
      <c r="D65" s="21" t="s">
        <v>11</v>
      </c>
      <c r="E65" s="21" t="s">
        <v>20</v>
      </c>
      <c r="F65" s="18"/>
      <c r="G65" s="44" t="s">
        <v>284</v>
      </c>
      <c r="H65" s="18" t="s">
        <v>185</v>
      </c>
      <c r="I65" s="18" t="s">
        <v>244</v>
      </c>
      <c r="J65" s="18" t="s">
        <v>211</v>
      </c>
      <c r="K65" s="44" t="s">
        <v>286</v>
      </c>
      <c r="L65" s="18"/>
      <c r="M65" s="22"/>
      <c r="N65" s="22"/>
      <c r="O65" s="22" t="s">
        <v>40</v>
      </c>
      <c r="P65" s="21" t="s">
        <v>40</v>
      </c>
      <c r="Q65" s="23">
        <v>44682.419074074074</v>
      </c>
      <c r="R65" s="22"/>
      <c r="S65" s="23"/>
    </row>
    <row r="66" spans="1:19" ht="79.2">
      <c r="A66" s="20">
        <v>56</v>
      </c>
      <c r="B66" s="21" t="s">
        <v>43</v>
      </c>
      <c r="C66" s="21" t="s">
        <v>287</v>
      </c>
      <c r="D66" s="21" t="s">
        <v>11</v>
      </c>
      <c r="E66" s="21" t="s">
        <v>20</v>
      </c>
      <c r="F66" s="18"/>
      <c r="G66" s="44" t="s">
        <v>288</v>
      </c>
      <c r="H66" s="18" t="s">
        <v>185</v>
      </c>
      <c r="I66" s="18" t="s">
        <v>289</v>
      </c>
      <c r="J66" s="18" t="s">
        <v>211</v>
      </c>
      <c r="K66" s="44" t="s">
        <v>290</v>
      </c>
      <c r="L66" s="18"/>
      <c r="M66" s="22"/>
      <c r="N66" s="22"/>
      <c r="O66" s="22" t="s">
        <v>40</v>
      </c>
      <c r="P66" s="21" t="s">
        <v>40</v>
      </c>
      <c r="Q66" s="23">
        <v>44682.423263888886</v>
      </c>
      <c r="R66" s="22"/>
      <c r="S66" s="23"/>
    </row>
    <row r="67" spans="1:19" ht="39.6">
      <c r="A67" s="20">
        <v>57</v>
      </c>
      <c r="B67" s="21" t="s">
        <v>43</v>
      </c>
      <c r="C67" s="21" t="s">
        <v>291</v>
      </c>
      <c r="D67" s="21" t="s">
        <v>11</v>
      </c>
      <c r="E67" s="21" t="s">
        <v>20</v>
      </c>
      <c r="F67" s="18"/>
      <c r="G67" s="44" t="s">
        <v>292</v>
      </c>
      <c r="H67" s="18" t="s">
        <v>185</v>
      </c>
      <c r="I67" s="18" t="s">
        <v>173</v>
      </c>
      <c r="J67" s="18" t="s">
        <v>293</v>
      </c>
      <c r="K67" s="43" t="s">
        <v>294</v>
      </c>
      <c r="L67" s="18"/>
      <c r="M67" s="22"/>
      <c r="N67" s="22"/>
      <c r="O67" s="22" t="s">
        <v>40</v>
      </c>
      <c r="P67" s="21" t="s">
        <v>40</v>
      </c>
      <c r="Q67" s="23">
        <v>44682.426817129628</v>
      </c>
      <c r="R67" s="22"/>
      <c r="S67" s="23"/>
    </row>
    <row r="68" spans="1:19" ht="66">
      <c r="A68" s="20">
        <v>58</v>
      </c>
      <c r="B68" s="21" t="s">
        <v>43</v>
      </c>
      <c r="C68" s="21" t="s">
        <v>295</v>
      </c>
      <c r="D68" s="21" t="s">
        <v>11</v>
      </c>
      <c r="E68" s="21" t="s">
        <v>20</v>
      </c>
      <c r="F68" s="18"/>
      <c r="G68" s="44" t="s">
        <v>296</v>
      </c>
      <c r="H68" s="18" t="s">
        <v>185</v>
      </c>
      <c r="I68" s="18" t="s">
        <v>297</v>
      </c>
      <c r="J68" s="18" t="s">
        <v>233</v>
      </c>
      <c r="K68" s="43" t="s">
        <v>298</v>
      </c>
      <c r="L68" s="18"/>
      <c r="M68" s="22"/>
      <c r="N68" s="22"/>
      <c r="O68" s="22" t="s">
        <v>40</v>
      </c>
      <c r="P68" s="21" t="s">
        <v>40</v>
      </c>
      <c r="Q68" s="23">
        <v>44682.43072916667</v>
      </c>
      <c r="R68" s="22"/>
      <c r="S68" s="23"/>
    </row>
    <row r="69" spans="1:19" ht="66">
      <c r="A69" s="20">
        <v>59</v>
      </c>
      <c r="B69" s="21" t="s">
        <v>43</v>
      </c>
      <c r="C69" s="21" t="s">
        <v>299</v>
      </c>
      <c r="D69" s="21" t="s">
        <v>11</v>
      </c>
      <c r="E69" s="21" t="s">
        <v>20</v>
      </c>
      <c r="F69" s="18"/>
      <c r="G69" s="44" t="s">
        <v>301</v>
      </c>
      <c r="H69" s="18" t="s">
        <v>185</v>
      </c>
      <c r="I69" s="18" t="s">
        <v>302</v>
      </c>
      <c r="J69" s="18" t="s">
        <v>236</v>
      </c>
      <c r="K69" s="43" t="s">
        <v>303</v>
      </c>
      <c r="L69" s="18"/>
      <c r="M69" s="22"/>
      <c r="N69" s="22"/>
      <c r="O69" s="22" t="s">
        <v>40</v>
      </c>
      <c r="P69" s="21" t="s">
        <v>40</v>
      </c>
      <c r="Q69" s="23">
        <v>44682.434351851851</v>
      </c>
      <c r="R69" s="22"/>
      <c r="S69" s="23"/>
    </row>
    <row r="70" spans="1:19" ht="66">
      <c r="A70" s="20">
        <v>60</v>
      </c>
      <c r="B70" s="21" t="s">
        <v>43</v>
      </c>
      <c r="C70" s="21" t="s">
        <v>300</v>
      </c>
      <c r="D70" s="21" t="s">
        <v>11</v>
      </c>
      <c r="E70" s="21" t="s">
        <v>20</v>
      </c>
      <c r="F70" s="18"/>
      <c r="G70" s="44" t="s">
        <v>305</v>
      </c>
      <c r="H70" s="18" t="s">
        <v>185</v>
      </c>
      <c r="I70" s="18" t="s">
        <v>306</v>
      </c>
      <c r="J70" s="18" t="s">
        <v>236</v>
      </c>
      <c r="K70" s="43" t="s">
        <v>303</v>
      </c>
      <c r="L70" s="18"/>
      <c r="M70" s="22"/>
      <c r="N70" s="22"/>
      <c r="O70" s="22" t="s">
        <v>40</v>
      </c>
      <c r="P70" s="21" t="s">
        <v>40</v>
      </c>
      <c r="Q70" s="23">
        <v>44682.434837962966</v>
      </c>
      <c r="R70" s="22"/>
      <c r="S70" s="23"/>
    </row>
    <row r="71" spans="1:19" ht="118.8">
      <c r="A71" s="20">
        <v>61</v>
      </c>
      <c r="B71" s="21" t="s">
        <v>43</v>
      </c>
      <c r="C71" s="21" t="s">
        <v>307</v>
      </c>
      <c r="D71" s="21" t="s">
        <v>11</v>
      </c>
      <c r="E71" s="21" t="s">
        <v>20</v>
      </c>
      <c r="F71" s="18"/>
      <c r="G71" s="44" t="s">
        <v>308</v>
      </c>
      <c r="H71" s="18" t="s">
        <v>185</v>
      </c>
      <c r="I71" s="18" t="s">
        <v>321</v>
      </c>
      <c r="J71" s="18" t="s">
        <v>309</v>
      </c>
      <c r="K71" s="43" t="s">
        <v>310</v>
      </c>
      <c r="L71" s="18"/>
      <c r="M71" s="22"/>
      <c r="N71" s="22"/>
      <c r="O71" s="22" t="s">
        <v>40</v>
      </c>
      <c r="P71" s="21" t="s">
        <v>40</v>
      </c>
      <c r="Q71" s="23">
        <v>44682.442407407405</v>
      </c>
      <c r="R71" s="22"/>
      <c r="S71" s="23"/>
    </row>
    <row r="72" spans="1:19" ht="105.6">
      <c r="A72" s="20">
        <v>62</v>
      </c>
      <c r="B72" s="21" t="s">
        <v>43</v>
      </c>
      <c r="C72" s="21" t="s">
        <v>311</v>
      </c>
      <c r="D72" s="21" t="s">
        <v>11</v>
      </c>
      <c r="E72" s="21" t="s">
        <v>20</v>
      </c>
      <c r="F72" s="18"/>
      <c r="G72" s="44" t="s">
        <v>312</v>
      </c>
      <c r="H72" s="18" t="s">
        <v>185</v>
      </c>
      <c r="I72" s="18" t="s">
        <v>313</v>
      </c>
      <c r="J72" s="18" t="s">
        <v>314</v>
      </c>
      <c r="K72" s="43" t="s">
        <v>315</v>
      </c>
      <c r="L72" s="18"/>
      <c r="M72" s="22"/>
      <c r="N72" s="22"/>
      <c r="O72" s="22" t="s">
        <v>40</v>
      </c>
      <c r="P72" s="21" t="s">
        <v>40</v>
      </c>
      <c r="Q72" s="23">
        <v>44682.444837962961</v>
      </c>
      <c r="R72" s="22"/>
      <c r="S72" s="23"/>
    </row>
    <row r="73" spans="1:19" ht="39.6">
      <c r="A73" s="20">
        <v>63</v>
      </c>
      <c r="B73" s="21" t="s">
        <v>43</v>
      </c>
      <c r="C73" s="21" t="s">
        <v>316</v>
      </c>
      <c r="D73" s="21" t="s">
        <v>11</v>
      </c>
      <c r="E73" s="21" t="s">
        <v>20</v>
      </c>
      <c r="F73" s="18"/>
      <c r="G73" s="44" t="s">
        <v>263</v>
      </c>
      <c r="H73" s="18" t="s">
        <v>311</v>
      </c>
      <c r="I73" s="18" t="s">
        <v>313</v>
      </c>
      <c r="J73" s="18" t="s">
        <v>264</v>
      </c>
      <c r="K73" s="43" t="s">
        <v>317</v>
      </c>
      <c r="L73" s="18"/>
      <c r="M73" s="22"/>
      <c r="N73" s="22"/>
      <c r="O73" s="22" t="s">
        <v>40</v>
      </c>
      <c r="P73" s="21" t="s">
        <v>40</v>
      </c>
      <c r="Q73" s="23">
        <v>44682.449166666665</v>
      </c>
      <c r="R73" s="22"/>
      <c r="S73" s="23"/>
    </row>
    <row r="74" spans="1:19" ht="290.39999999999998">
      <c r="A74" s="20">
        <v>64</v>
      </c>
      <c r="B74" s="21" t="s">
        <v>184</v>
      </c>
      <c r="C74" s="21" t="s">
        <v>319</v>
      </c>
      <c r="D74" s="21" t="s">
        <v>8</v>
      </c>
      <c r="E74" s="21" t="s">
        <v>20</v>
      </c>
      <c r="F74" s="18"/>
      <c r="G74" s="44" t="s">
        <v>320</v>
      </c>
      <c r="H74" s="18" t="s">
        <v>46</v>
      </c>
      <c r="I74" s="18" t="s">
        <v>327</v>
      </c>
      <c r="J74" s="18" t="s">
        <v>329</v>
      </c>
      <c r="K74" s="43" t="s">
        <v>323</v>
      </c>
      <c r="L74" s="18"/>
      <c r="M74" s="22"/>
      <c r="N74" s="22"/>
      <c r="O74" s="22" t="s">
        <v>40</v>
      </c>
      <c r="P74" s="21" t="s">
        <v>40</v>
      </c>
      <c r="Q74" s="23">
        <v>44682.451944444445</v>
      </c>
      <c r="R74" s="22"/>
      <c r="S74" s="23"/>
    </row>
    <row r="75" spans="1:19" ht="303.60000000000002">
      <c r="A75" s="20">
        <v>65</v>
      </c>
      <c r="B75" s="21" t="s">
        <v>184</v>
      </c>
      <c r="C75" s="21" t="s">
        <v>324</v>
      </c>
      <c r="D75" s="21" t="s">
        <v>11</v>
      </c>
      <c r="E75" s="21" t="s">
        <v>20</v>
      </c>
      <c r="F75" s="18"/>
      <c r="G75" s="44" t="s">
        <v>325</v>
      </c>
      <c r="H75" s="18" t="s">
        <v>46</v>
      </c>
      <c r="I75" s="18" t="s">
        <v>326</v>
      </c>
      <c r="J75" s="18" t="s">
        <v>329</v>
      </c>
      <c r="K75" s="43" t="s">
        <v>328</v>
      </c>
      <c r="L75" s="18"/>
      <c r="M75" s="22"/>
      <c r="N75" s="22"/>
      <c r="O75" s="22" t="s">
        <v>40</v>
      </c>
      <c r="P75" s="21" t="s">
        <v>40</v>
      </c>
      <c r="Q75" s="23">
        <v>44682.481365740743</v>
      </c>
      <c r="R75" s="22"/>
      <c r="S75" s="23"/>
    </row>
    <row r="76" spans="1:19" ht="13.8">
      <c r="B76" s="17" t="s">
        <v>9</v>
      </c>
      <c r="C76" s="17" t="s">
        <v>22</v>
      </c>
      <c r="E76" s="13"/>
    </row>
    <row r="77" spans="1:19" ht="14.4">
      <c r="B77" s="35" t="str" cm="1">
        <f t="array" ref="B77:C80">Dashboard!H34:I37</f>
        <v>Passed</v>
      </c>
      <c r="C77" s="36">
        <v>27</v>
      </c>
      <c r="D77" s="13"/>
      <c r="E77" s="13"/>
    </row>
    <row r="78" spans="1:19" ht="13.8">
      <c r="B78" s="35" t="str">
        <v>Failed</v>
      </c>
      <c r="C78" s="36">
        <v>6</v>
      </c>
    </row>
    <row r="79" spans="1:19" ht="13.8">
      <c r="B79" s="35" t="str">
        <v>Not Executed</v>
      </c>
      <c r="C79" s="36">
        <v>3</v>
      </c>
    </row>
    <row r="80" spans="1:19" ht="13.8">
      <c r="B80" s="35" t="str">
        <v>Not Ready</v>
      </c>
      <c r="C80" s="36">
        <v>29</v>
      </c>
    </row>
    <row r="81" spans="2:3" ht="13.8">
      <c r="B81" s="37" t="s">
        <v>34</v>
      </c>
      <c r="C81" s="38">
        <f>SUM(C77:C80)</f>
        <v>65</v>
      </c>
    </row>
  </sheetData>
  <dataValidations count="5">
    <dataValidation type="list" allowBlank="1" showInputMessage="1" showErrorMessage="1" sqref="D11:D75" xr:uid="{00000000-0002-0000-0000-000001000000}">
      <formula1>typeTestList</formula1>
    </dataValidation>
    <dataValidation type="list" allowBlank="1" showInputMessage="1" showErrorMessage="1" sqref="B11:B75" xr:uid="{00000000-0002-0000-0000-000000000000}">
      <formula1>pageList</formula1>
    </dataValidation>
    <dataValidation type="list" allowBlank="1" showInputMessage="1" showErrorMessage="1" sqref="E11:E75" xr:uid="{AB3C7D48-6248-BF44-BC67-9601FA3FEF51}">
      <formula1>statusList</formula1>
    </dataValidation>
    <dataValidation type="list" allowBlank="1" showInputMessage="1" showErrorMessage="1" sqref="N11:N75" xr:uid="{B8EBAFA2-42E0-C149-B2F2-1BAED273F9DD}">
      <formula1>priorityList</formula1>
    </dataValidation>
    <dataValidation type="list" allowBlank="1" showInputMessage="1" showErrorMessage="1" sqref="R11:R75 O11:P75" xr:uid="{797079AC-8B14-9B4A-BC48-F63FF901A58C}">
      <formula1>picList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114300</xdr:colOff>
                    <xdr:row>7</xdr:row>
                    <xdr:rowOff>38100</xdr:rowOff>
                  </from>
                  <to>
                    <xdr:col>1</xdr:col>
                    <xdr:colOff>1280160</xdr:colOff>
                    <xdr:row>8</xdr:row>
                    <xdr:rowOff>137160</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1508760</xdr:colOff>
                    <xdr:row>7</xdr:row>
                    <xdr:rowOff>38100</xdr:rowOff>
                  </from>
                  <to>
                    <xdr:col>2</xdr:col>
                    <xdr:colOff>632460</xdr:colOff>
                    <xdr:row>8</xdr:row>
                    <xdr:rowOff>137160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3" id="{9D6610C4-829E-40B1-9539-3F8D2270CBC0}">
            <xm:f>$E11=Dashboard!$H$35</xm:f>
            <x14:dxf>
              <font>
                <color rgb="FF9C0006"/>
              </font>
              <fill>
                <patternFill>
                  <bgColor rgb="FFFFC7CE"/>
                </patternFill>
              </fill>
            </x14:dxf>
          </x14:cfRule>
          <xm:sqref>A47:F75 L48:S48 H47:J75 A11:S46 M47:S47 L50:S75 M49:S49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69921875" defaultRowHeight="15.6"/>
  <cols>
    <col min="1" max="1" width="57.69921875" customWidth="1"/>
  </cols>
  <sheetData>
    <row r="1" spans="1:1">
      <c r="A1" s="2" t="s">
        <v>12</v>
      </c>
    </row>
    <row r="2" spans="1:1" ht="265.2">
      <c r="A2" s="1" t="s">
        <v>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Dashboard</vt:lpstr>
      <vt:lpstr>Test Case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XA User</cp:lastModifiedBy>
  <cp:revision/>
  <dcterms:created xsi:type="dcterms:W3CDTF">2021-09-10T01:15:16Z</dcterms:created>
  <dcterms:modified xsi:type="dcterms:W3CDTF">2022-05-04T01:21:06Z</dcterms:modified>
  <cp:category/>
  <cp:contentStatus/>
</cp:coreProperties>
</file>