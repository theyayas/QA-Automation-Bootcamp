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D:\Batch288\xa-batch-288-qa-teknologi\003. Yasin\012. Manual Test Case Web Seva\"/>
    </mc:Choice>
  </mc:AlternateContent>
  <xr:revisionPtr revIDLastSave="0" documentId="13_ncr:1_{81BDB3D1-14CB-42F2-955D-506B0D0D7BCC}" xr6:coauthVersionLast="47" xr6:coauthVersionMax="47" xr10:uidLastSave="{00000000-0000-0000-0000-000000000000}"/>
  <bookViews>
    <workbookView xWindow="0" yWindow="450" windowWidth="20490" windowHeight="11070" activeTab="1" xr2:uid="{00000000-000D-0000-FFFF-FFFF00000000}"/>
  </bookViews>
  <sheets>
    <sheet name="Dashboard" sheetId="12" r:id="rId1"/>
    <sheet name="Positive" sheetId="9" r:id="rId2"/>
    <sheet name="Negative" sheetId="13" r:id="rId3"/>
    <sheet name="MACRO" sheetId="11" state="hidden" r:id="rId4"/>
  </sheets>
  <definedNames>
    <definedName name="_xlnm._FilterDatabase" localSheetId="1" hidden="1">Positive!$A$10:$S$10</definedName>
    <definedName name="cityList">#REF!</definedName>
    <definedName name="list_test_case">Positive!$A$11:$S$33</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34" i="12" l="1"/>
  <c r="Q35" i="12"/>
  <c r="Q36" i="12"/>
  <c r="P34" i="12"/>
  <c r="P35" i="12"/>
  <c r="P36" i="12"/>
  <c r="C34" i="12" l="1"/>
  <c r="O34" i="12"/>
  <c r="O35" i="12"/>
  <c r="O36" i="12"/>
  <c r="L34" i="12"/>
  <c r="L35" i="12"/>
  <c r="L36" i="12"/>
  <c r="L37" i="12"/>
  <c r="I35" i="12"/>
  <c r="I36" i="12"/>
  <c r="I37" i="12"/>
  <c r="I34" i="12"/>
  <c r="F34" i="12"/>
  <c r="F35" i="12"/>
  <c r="B36" i="13" l="1" a="1"/>
  <c r="B36" i="9" a="1"/>
  <c r="C40" i="13" l="1"/>
  <c r="B36" i="13"/>
  <c r="B36" i="9"/>
  <c r="C4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10"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10" authorId="0" shapeId="0" xr:uid="{C456D497-0939-4B56-9210-DED181C4400E}">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<sst xmlns="http://schemas.openxmlformats.org/spreadsheetml/2006/main" count="498" uniqueCount="138">
  <si>
    <t>NO.</t>
  </si>
  <si>
    <t>FUNGTION</t>
  </si>
  <si>
    <t>TEST STEPS</t>
  </si>
  <si>
    <t>EXPECTED RESULT</t>
  </si>
  <si>
    <t>ACTUAL RESULT</t>
  </si>
  <si>
    <t>TEST TYPE</t>
  </si>
  <si>
    <t>STATUS</t>
  </si>
  <si>
    <t>NOTES</t>
  </si>
  <si>
    <t>Positive</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</si>
  <si>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</si>
  <si>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</si>
  <si>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</si>
  <si>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</si>
  <si>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</si>
  <si>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</si>
  <si>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</si>
  <si>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</si>
  <si>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</si>
  <si>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</si>
  <si>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</si>
  <si>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</si>
  <si>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</si>
  <si>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</si>
  <si>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</si>
  <si>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</si>
  <si>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</si>
  <si>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</si>
  <si>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</si>
  <si>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</si>
  <si>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</si>
  <si>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</si>
  <si>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</si>
  <si>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</si>
  <si>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</si>
  <si>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</si>
  <si>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</si>
  <si>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TEST DATA</t>
  </si>
  <si>
    <t>TOTAL
(Programmer)</t>
  </si>
  <si>
    <t>TOTAL
(Created)</t>
  </si>
  <si>
    <t>TOTAL
(Executor)</t>
  </si>
  <si>
    <t>Yasin</t>
  </si>
  <si>
    <t>1.1. Registrasi</t>
  </si>
  <si>
    <t>Wahyu</t>
  </si>
  <si>
    <t>Beny</t>
  </si>
  <si>
    <t>TC110001</t>
  </si>
  <si>
    <t>Masuk ke halaman Registrasi, menampilkan Backgorund KV pada halaman tersebut</t>
  </si>
  <si>
    <t>1. Browser Chrome
2. URL Web Seva</t>
  </si>
  <si>
    <t>1. Buka Browser Chrome
2. Masuk ke halaman utama Seva menggunakan URL pada deskripsi
3. Klik tombol "Masuk / Daftar"
4. Klik Texted Button "Daftar Sekarang"</t>
  </si>
  <si>
    <t>Menampilkan gambar Background KV</t>
  </si>
  <si>
    <t>TC110002</t>
  </si>
  <si>
    <t>Masuk ke halaman Registrasi, menampilkan form Registrasi</t>
  </si>
  <si>
    <t>TC110003</t>
  </si>
  <si>
    <t>Pada halaman Registrasi, ketika menekan Texted Button "Masuk", maka user akan diarahkan ke halaman "Login"</t>
  </si>
  <si>
    <t>1. Menekan Texted Button "Masuk"</t>
  </si>
  <si>
    <t>Masuk ke halaman "Login" dengan URL : "https://www.dev.sevaio.xyz/masuk-akun"</t>
  </si>
  <si>
    <t>TC110004</t>
  </si>
  <si>
    <t>Menampilkan contoh dari format nomor HP yang perlu diisi berupa "Contoh: 81212345678"</t>
  </si>
  <si>
    <t>Menampilkan Dropdown dengan pilihan "Pria" dan "Wanita"</t>
  </si>
  <si>
    <t>TC110005</t>
  </si>
  <si>
    <t>TC110006</t>
  </si>
  <si>
    <t>Menampilkan Kalender dengan tanggal default yang terpilih adalah tanggal pada hari itu</t>
  </si>
  <si>
    <t>TC110007</t>
  </si>
  <si>
    <t>1. Nomor HP: "82131779480"
2. Nama Lengkap: "Muhammad Yasin"
3. Jenis Kelamin: "Pria"
4. Tanggal Lahir: "04/06/2020"</t>
  </si>
  <si>
    <t>TC110008</t>
  </si>
  <si>
    <t>Menampilkan text "Pilih" jika belum diisi dan icon panah ke bawah untuk memilih pilihan yang tersedia</t>
  </si>
  <si>
    <t>TC110009</t>
  </si>
  <si>
    <t>Menampilkan contoh dari Nama Lengkap yang perlu diisi berupa "Contoh: John Doe"</t>
  </si>
  <si>
    <t>TC110010</t>
  </si>
  <si>
    <t>Menampilkan contoh dari Tanggal Lahir yang perlu diisi berupa "DD/MM/YYY" dan icon Kalender yang dapat diklik</t>
  </si>
  <si>
    <t>TC110011</t>
  </si>
  <si>
    <t>Menampilkan contoh dari Nama Lengkap yang perlu diisi berupa "Contoh: john.doe@gmail.com"</t>
  </si>
  <si>
    <t>TC110012</t>
  </si>
  <si>
    <t>1. Nomor HP: "082131779480"</t>
  </si>
  <si>
    <t>TC110013</t>
  </si>
  <si>
    <t>1. Nomor HP: "8xx xxxx xxxx"</t>
  </si>
  <si>
    <t>Menampilkan pesan error yang menginformasikan bahwa nomor yang diinputkan sudah terdaftar dan tidak dapat melakukan proses registrasi</t>
  </si>
  <si>
    <t>TC110014</t>
  </si>
  <si>
    <t>1. Nomor HP: "822"</t>
  </si>
  <si>
    <t>Menampilkan alert yang menginformasikan bahwa nomor yang diinputkan harus memiliki minimal 4 digit angka berupa "Nomor HP minimal 4 angka"</t>
  </si>
  <si>
    <t>TC110015</t>
  </si>
  <si>
    <t>1. Nama Lengkap: "Muhammad Yasin"
2. Jenis Kelamin: "Pria"
3. Tanggal Lahir: "04/06/2020"</t>
  </si>
  <si>
    <t>TC110016</t>
  </si>
  <si>
    <t>1. Nomor HP: "82131779480"
2. Jenis Kelamin: "Pria"
3. Tanggal Lahir: "04/06/2020"</t>
  </si>
  <si>
    <t>TC110017</t>
  </si>
  <si>
    <t>1. Nomor HP: "82131779480"
2. Nama Lengkap: "Muhammad Yasin"
3. Tanggal Lahir: "04/06/2020"</t>
  </si>
  <si>
    <t>TC110018</t>
  </si>
  <si>
    <t>1. Nomor HP: "82131779480"
2. Nama Lengkap: "Muhammad Yasin"
3. Jenis Kelamin: "Pria"</t>
  </si>
  <si>
    <t>TC110019</t>
  </si>
  <si>
    <t>Menampilkan alert berupa "Wajib diisi" di bawah Checkbox "Syarat dan Ketentuan serta Kebijakan Privasi"</t>
  </si>
  <si>
    <t>TC110020</t>
  </si>
  <si>
    <t>Menampilkan alert berupa "Wajib diisi" di bawah Checkbox "Ya, Saya mau menerima informasi promo terbaru"</t>
  </si>
  <si>
    <t>1. Mengisi place holder Nomor HP
2. Mengisi place holder Nama Lengkap
3. Mengisi place holder Jenis Kelamin
4. Mengisi place holder Tanggal Lahir
5. Mencentang Checkbox "Syarat dan Ketentuan serta Kebijakan Privasi"
6. Menekan tombol Selanjutnya</t>
  </si>
  <si>
    <t>Pada halaman Registrasi, terdapat place holder Jenis Kelamin yang menampilkan text "Pilih" jika belum diisi</t>
  </si>
  <si>
    <t>Pada halaman Registrasi, terdapat place holder Nama Lengkap yang menampilkan contoh dari format nama lengkap yang perlu diisi</t>
  </si>
  <si>
    <t>Pada halaman Registrasi, terdapat place holder Tanggal Lahir yang menampilkan contoh dari format tanggal lahir yang perlu diisi</t>
  </si>
  <si>
    <t>Pada halaman Registrasi, terdapat place holder Email (Opsional) yang menampilkan contoh dari format email yang perlu diisi</t>
  </si>
  <si>
    <t>Pada halaman Registrasi, ketika mengisi place holder Nomor HP dengan nomor yang awalnya 0, maka angka 0 tersebut otomatis direject</t>
  </si>
  <si>
    <t>1. Mengisi place holder Nomor HP</t>
  </si>
  <si>
    <t>Angka 0 pada awalan nomor HP yang diisi tidak masuk ke place holder Nomor HP ketika diisi</t>
  </si>
  <si>
    <t>Pada halaman Registrasi, ketika mengisi place holder Nomor HP dengan nomor yang sudah terdaftar, maka akan menampilkan pesan error yang menginformasikan bahwa nomor yang diinputkan sudah terdaftar</t>
  </si>
  <si>
    <t>Pada halaman Registrasi, ketika mengisi place holder Nomor HP dengan nomor yang hanya terdiri dari 4 digit angka, maka akan menampilkan alert yang menginformasikan bahwa nomor yang diinputkan harus memiliki minimal 4 digit angka</t>
  </si>
  <si>
    <t>Ketika ingin melakukan proses registrasi dengan mengisi semua place holder mandatory kecuali place holder Nomor HP kemudian menekan tombol "Selanjutnya", maka menampilkan alert berupa "Wajib diisi" di bawah place holder Nomor Hp</t>
  </si>
  <si>
    <t>1. Mengisi place holder Nama Lengkap
2. Mengisi place holder Jenis Kelamin
3. Mengisi place holder Tanggal Lahir
4. Mencentang Checkbox "Syarat dan Ketentuan serta Kebijakan Privasi"
5. Menekan tombol Selanjutnya</t>
  </si>
  <si>
    <t>Menampilkan alert berupa "Wajib diisi" di bawah place holder Nomor Hp</t>
  </si>
  <si>
    <t>Ketika ingin melakukan proses registrasi dengan mengisi semua place holder mandatory kecuali place holder Nama Lengkap kemudian menekan tombol "Selanjutnya", maka menampilkan alert berupa "Wajib diisi" di bawah place holder Nama Lengkap</t>
  </si>
  <si>
    <t>1. Mengisi place holder Nomor HP
2. Mengisi place holder Jenis Kelamin
3. Mengisi place holder Tanggal Lahir
4. Mencentang Checkbox "Syarat dan Ketentuan serta Kebijakan Privasi"
5. Menekan tombol Selanjutnya</t>
  </si>
  <si>
    <t>Menampilkan alert berupa "Wajib diisi" di bawah place holder Nama Lengkap</t>
  </si>
  <si>
    <t>Ketika ingin melakukan proses registrasi dengan mengisi semua place holder mandatory kecuali place holder Jenis Kelamin kemudian menekan tombol "Selanjutnya", maka menampilkan alert berupa "Wajib diisi" di bawah place holder Jenis Kelamin</t>
  </si>
  <si>
    <t>1. Mengisi place holder Nomor HP
2. Mengisi place holder Nama Lengkap
3. Mengisi place holder Tanggal Lahir
4. Mencentang Checkbox "Syarat dan Ketentuan serta Kebijakan Privasi"
5. Menekan tombol Selanjutnya</t>
  </si>
  <si>
    <t>Menampilkan alert berupa "Wajib diisi" di bawah place holder Jenis Kelamin</t>
  </si>
  <si>
    <t>Ketika ingin melakukan proses registrasi dengan mengisi semua place holder mandatory kecuali place holder Tanggal Lahir kemudian menekan tombol "Selanjutnya", maka menampilkan alert berupa "Wajib diisi" di bawah place holder Tanggal Lahir</t>
  </si>
  <si>
    <t>1. Mengisi place holder Nomor HP
2. Mengisi place holder Nama Lengkap
3. Mengisi place holder Jenis Kelamin
4. Mencentang Checkbox "Syarat dan Ketentuan serta Kebijakan Privasi"
5. Menekan tombol Selanjutnya</t>
  </si>
  <si>
    <t>Menampilkan alert berupa "Wajib diisi" di bawah place holder Tanggal Lahir</t>
  </si>
  <si>
    <t>Ketika ingin melakukan proses registrasi dengan mengisi semua place holder mandatory dan membiarkan Checkbox "Syarat dan Ketentuan serta Kebijakan Privasi" kemudian menekan tombol "Selanjutnya", maka menampilkan alert berupa "Wajib diisi" di bawah Checkbox "Syarat dan Ketentuan serta Kebijakan Privasi"</t>
  </si>
  <si>
    <t>1. Mengisi place holder Nomor HP
2. Mengisi place holder Nama Lengkap
3. Mengisi place holder Jenis Kelamin
4. Mengisi place holder Tanggal Lahir
5. Menekan tombol Selanjutnya</t>
  </si>
  <si>
    <t>Ketika ingin melakukan proses registrasi dengan mengisi semua place holder mandatory dan tidak mencentang Checkbox "Ya, Saya mau menerima informasi promo terbaru" kemudian menekan tombol "Selanjutnya", maka menampilkan alert berupa "Wajib diisi" di bawah Checkbox "Ya, Saya mau menerima informasi promo terbaru"</t>
  </si>
  <si>
    <t>1. Mengisi place holder Nomor HP
2. Mengisi place holder Nama Lengkap
3. Mengisi place holder Jenis Kelamin
4. Mengisi place holder Tanggal Lahir
5. Menghilangkan centang pada Checkbox "Ya, Saya mau menerima informasi promo terbaru" 
6. Menekan tombol Selanjutnya</t>
  </si>
  <si>
    <t xml:space="preserve">Menampilkan form Registrasi yang dapat diisi berupa : 
1. Header form registrasi
2. Texted button "Masuk"
3. place holder Nomor Telephone
4. place holder Nama Lengkap
5. Dropdown Gender
6. place holder Tanggal Lahir
7. place holder Email (Opsional)
8. Checkbox "Ya, Saya mau menerima informasi promo terbaru" yang secara default ter-checklist
9. Checkbox "Syarat dan Ketentuan serta Kebijakan Privasi" yang secara default tidak ter-checklist
10. Button "Selanjutnya"
10. </t>
  </si>
  <si>
    <t>Pada halaman Registrasi, terdapat place holder Nomor HP yang menampilkan contoh dari format nomor HP yang perlu diisi</t>
  </si>
  <si>
    <t>Pada halaman Registrasi, ketika menekan place holder "Jenis Kelamin", menampilkan Dropdown dengan pilihan "Pria" dan "Wanita"</t>
  </si>
  <si>
    <t>1. Menekan place holder "Jenis Kelamin"</t>
  </si>
  <si>
    <t>Pada halaman Registrasi, ketika menekan place holder "Tanggal Lahir", menampilkan Kalender yang dapat dipilih.</t>
  </si>
  <si>
    <t>1. Menekan place holder "Kalender"</t>
  </si>
  <si>
    <t>Pada halaman Registrasi, setelah mengisi semua place holder pada form tersebut kemudian menekan tombol "Selanjutnya", maka user diarahkan ke halaman OTP dengan URL: "http://seva.id/masuk-akun/otp"</t>
  </si>
  <si>
    <t>User diarahkan ke halaman OTP dengan URL: "http://seva.id/masuk-akun/otp" yang menampilkan:
1. Text "Masukkan Kode OTP"
2. Text "Masukkan 6-digit kode yang telah dikirim melalui SMS ke xxx"
3. place holder Kode OTP untuk 6 digit angka</t>
  </si>
  <si>
    <t>TC110021</t>
  </si>
  <si>
    <t>1. Mengisi place holder Nomor HP
2. Mengisi place holder Nama Lengkap
3. Mengisi place holder Jenis Kelamin
4. Mengisi place holder Tanggal Lahir
5. Menghilangkan centang pada Checkbox "Ya, Saya mau menerima informasi promo terbaru"
6. Mencentang Checkbox "Syarat dan Ketentuan serta Kebijakan Privasi" 
7. Menekan tombol Selanjutnya</t>
  </si>
  <si>
    <t>Ketika melakukan proses registrasi dengan mengisi semua place holder mandatory kemudian tidak mencentang Checkbox "Ya, Saya mau menerima informasi promo terbaru" dan Checkbox "Syarat dan Ketentuan serta Kebijakan Privasi" kemudian menekan tombol "Selanjutnya", maka menampilkan alert berupa "Wajib diisi" di bawah Checkbox "Ya, Saya mau menerima informasi promo terbaru" dan Checkbox "Syarat dan Ketentuan serta Kebijakan Privasi"</t>
  </si>
  <si>
    <t>Menampilkan alert berupa "Wajib diisi" di bawah Checkbox "Ya, Saya mau menerima informasi promo terbaru" dan Checkbox "Syarat dan Ketentuan serta Kebijakan Privasi"</t>
  </si>
  <si>
    <t>Ketika melakukan proses registrasi dengan mengosongkan semua place holder mandatory kemudian menekan tombol "Selanjutnya", maka menampilkan alert berupa "Wajib diisi" di bawah semua place holder yang kosong</t>
  </si>
  <si>
    <t>1. Menghilangkan centang pada Checkbox "Ya, Saya mau menerima informasi promo terbaru" 
2. Menekan tombol Selanjutnya</t>
  </si>
  <si>
    <t>Menampilkan alert berupa "Wajib diisi" di bawah semua place holder yang kosong</t>
  </si>
  <si>
    <t>TC110022</t>
  </si>
  <si>
    <t>TC110023</t>
  </si>
  <si>
    <t>1. Nomor HP: "82131779480"
2. Nama Lengkap: "Muhammad Yasin"
3. Jenis Kelamin: "Pria"
4. Tanggal Lahir: "04/06/2020"
5. Email : "yasingammarkanari@gmail.com"</t>
  </si>
  <si>
    <t>1. Mengisi place holder Nomor HP
2. Mengisi place holder Nama Lengkap
3. Mengisi place holder Jenis Kelamin
4. Mengisi place holder Tanggal Lahir
5. Mencentang Checkbox "Syarat dan Ketentuan serta Kebijakan Privasi"
6. Mengisi place holder Email
7. Menekan tombol Selanjutnya</t>
  </si>
  <si>
    <t>Pada halaman Registrasi, setelah mengisi semua place holder kecual place holder Email pada form tersebut kemudian menekan tombol "Selanjutnya", maka user diarahkan ke halaman OTP dengan URL: "http://seva.id/masuk-akun/otp"</t>
  </si>
  <si>
    <t>Pada halaman Registrasi, setelah mengisi semua place holder kecuali place holder Email pada form tersebut kemudian menekan tombol "Selanjutnya", maka user diarahkan ke halaman OTP dengan URL: "http://seva.id/masuk-akun/otp"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</si>
</sst>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dd\-mmm\-yyyy\ hh\:mm"/>
    <numFmt numFmtId="166" formatCode="dd\ mmm\ yy"/>
  </numFmts>
  <fonts count="20">
    <font>
      <sz val="12"/>
      <color theme="1"/>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sz val="10"/>
      <color theme="1"/>
      <name val="Arial"/>
      <family val="2"/>
    </font>
    <font>
      <sz val="10"/>
      <color theme="1"/>
      <name val="Calibri"/>
      <family val="2"/>
      <scheme val="minor"/>
    </font>
    <font>
      <sz val="12"/>
      <color theme="8" tint="0.79998168889431442"/>
      <name val="Arial"/>
      <family val="2"/>
    </font>
    <font>
      <b/>
      <sz val="15"/>
      <color theme="3"/>
      <name val="ArialMT"/>
      <family val="2"/>
    </font>
    <font>
      <b/>
      <sz val="11"/>
      <color theme="0"/>
      <name val="ArialMT"/>
      <family val="2"/>
    </font>
    <font>
      <sz val="10"/>
      <color theme="1"/>
      <name val="ArialMT"/>
      <family val="2"/>
    </font>
    <font>
      <sz val="11"/>
      <color rgb="FF000000"/>
      <name val="Arial"/>
      <family val="2"/>
    </font>
    <font>
      <sz val="11"/>
      <color theme="1"/>
      <name val="Arial"/>
      <family val="2"/>
    </font>
    <font>
      <sz val="11"/>
      <color rgb="FF375623"/>
      <name val="ArialMT"/>
    </font>
    <font>
      <sz val="11"/>
      <color rgb="FF003300"/>
      <name val="Arial"/>
      <family val="2"/>
    </font>
    <font>
      <b/>
      <sz val="11"/>
      <color theme="0"/>
      <name val="Arial"/>
      <family val="2"/>
    </font>
  </fonts>
  <fills count="4">
    <fill>
      <patternFill patternType="none"/>
    </fill>
    <fill>
      <patternFill patternType="gray125"/>
    </fill>
    <fill>
      <patternFill patternType="solid">
        <fgColor theme="6" tint="0.79998168889431442"/>
        <bgColor indexed="64"/>
      </patternFill>
    </fill>
    <fill>
      <patternFill patternType="solid">
        <fgColor theme="8"/>
        <bgColor theme="8"/>
      </patternFill>
    </fill>
  </fills>
  <borders count="6">
    <border>
      <left/>
      <right/>
      <top/>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
      <left/>
      <right/>
      <top/>
      <bottom style="thick">
        <color theme="4"/>
      </bottom>
      <diagonal/>
    </border>
    <border>
      <left/>
      <right/>
      <top style="thin">
        <color indexed="64"/>
      </top>
      <bottom style="thin">
        <color theme="8" tint="0.39997558519241921"/>
      </bottom>
      <diagonal/>
    </border>
  </borders>
  <cellStyleXfs count="4">
    <xf numFmtId="0" fontId="0" fillId="0" borderId="0"/>
    <xf numFmtId="0" fontId="3" fillId="0" borderId="1" applyNumberFormat="0" applyFill="0" applyAlignment="0" applyProtection="0"/>
    <xf numFmtId="0" fontId="4" fillId="0" borderId="2" applyNumberFormat="0" applyFill="0" applyAlignment="0" applyProtection="0"/>
    <xf numFmtId="0" fontId="12" fillId="0" borderId="4" applyNumberFormat="0" applyFill="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xf>
    <xf numFmtId="0" fontId="5" fillId="0" borderId="0" xfId="0" applyFont="1"/>
    <xf numFmtId="0" fontId="5" fillId="0" borderId="0" xfId="0" applyNumberFormat="1" applyFont="1"/>
    <xf numFmtId="0" fontId="7" fillId="0" borderId="0" xfId="0" applyFont="1"/>
    <xf numFmtId="0" fontId="8" fillId="0" borderId="0" xfId="0" applyFont="1" applyAlignment="1">
      <alignment vertical="top"/>
    </xf>
    <xf numFmtId="0" fontId="8" fillId="0" borderId="0" xfId="0" applyFont="1" applyAlignment="1">
      <alignment vertical="top" wrapText="1"/>
    </xf>
    <xf numFmtId="14" fontId="8" fillId="0" borderId="0" xfId="0" applyNumberFormat="1" applyFont="1" applyAlignment="1">
      <alignment vertical="top" wrapText="1"/>
    </xf>
    <xf numFmtId="0" fontId="8" fillId="0" borderId="0" xfId="0" applyFont="1" applyAlignment="1">
      <alignment horizontal="center" vertical="top" wrapText="1"/>
    </xf>
    <xf numFmtId="14" fontId="7" fillId="0" borderId="0" xfId="0" applyNumberFormat="1" applyFont="1" applyAlignment="1">
      <alignment horizontal="left" vertical="center"/>
    </xf>
    <xf numFmtId="0" fontId="7" fillId="0" borderId="0" xfId="0" applyFont="1" applyAlignment="1">
      <alignment horizontal="left" vertical="top"/>
    </xf>
    <xf numFmtId="0" fontId="9" fillId="0" borderId="0" xfId="0" applyFont="1"/>
    <xf numFmtId="0" fontId="10" fillId="0" borderId="0" xfId="0" applyFont="1"/>
    <xf numFmtId="0" fontId="11" fillId="2" borderId="0" xfId="0" applyFont="1" applyFill="1"/>
    <xf numFmtId="0" fontId="11" fillId="0" borderId="0" xfId="0" applyFont="1" applyFill="1"/>
    <xf numFmtId="0" fontId="5" fillId="0" borderId="0" xfId="0" applyFont="1" applyFill="1"/>
    <xf numFmtId="0" fontId="13" fillId="3" borderId="5" xfId="0" applyFont="1" applyFill="1" applyBorder="1" applyAlignment="1">
      <alignment horizontal="center" vertical="center" wrapText="1"/>
    </xf>
    <xf numFmtId="0" fontId="7" fillId="0" borderId="0" xfId="0" applyFont="1" applyFill="1"/>
    <xf numFmtId="0" fontId="14" fillId="0" borderId="0" xfId="0" applyFont="1" applyAlignment="1">
      <alignment horizontal="center" vertical="center" wrapText="1"/>
    </xf>
    <xf numFmtId="0" fontId="8" fillId="0" borderId="0" xfId="2" applyFont="1" applyFill="1" applyBorder="1" applyAlignment="1">
      <alignment horizontal="left" vertical="top"/>
    </xf>
    <xf numFmtId="166" fontId="8" fillId="0" borderId="0" xfId="2" applyNumberFormat="1" applyFont="1" applyFill="1" applyBorder="1" applyAlignment="1">
      <alignment horizontal="left" vertical="top"/>
    </xf>
    <xf numFmtId="0" fontId="8" fillId="0" borderId="0" xfId="3" applyFont="1" applyFill="1" applyBorder="1" applyAlignment="1">
      <alignment horizontal="left" vertical="top"/>
    </xf>
    <xf numFmtId="0" fontId="16" fillId="0" borderId="0" xfId="0" applyFont="1"/>
    <xf numFmtId="0" fontId="16" fillId="0" borderId="0" xfId="0" applyNumberFormat="1" applyFont="1"/>
    <xf numFmtId="0" fontId="19" fillId="0" borderId="1" xfId="1" applyFont="1" applyAlignment="1">
      <alignment horizontal="center" vertical="center"/>
    </xf>
    <xf numFmtId="0" fontId="19" fillId="0" borderId="1" xfId="1" applyFont="1" applyFill="1" applyAlignment="1">
      <alignment horizontal="center" vertical="center"/>
    </xf>
    <xf numFmtId="0" fontId="16" fillId="0" borderId="0" xfId="0" applyFont="1" applyAlignment="1">
      <alignment horizontal="center" vertical="center"/>
    </xf>
    <xf numFmtId="0" fontId="19" fillId="0" borderId="1" xfId="1" applyFont="1" applyFill="1" applyBorder="1" applyAlignment="1">
      <alignment horizontal="center" vertical="center" wrapText="1"/>
    </xf>
    <xf numFmtId="0" fontId="16" fillId="0" borderId="0" xfId="0" applyFont="1" applyAlignment="1">
      <alignment horizontal="center"/>
    </xf>
    <xf numFmtId="0" fontId="16" fillId="0" borderId="3" xfId="0" applyFont="1" applyBorder="1"/>
    <xf numFmtId="0" fontId="16" fillId="0" borderId="3" xfId="0" applyFont="1" applyBorder="1" applyAlignment="1">
      <alignment horizontal="center"/>
    </xf>
    <xf numFmtId="0" fontId="15" fillId="0" borderId="3" xfId="0" applyFont="1" applyBorder="1"/>
    <xf numFmtId="0" fontId="15" fillId="0" borderId="3" xfId="0" applyFont="1" applyBorder="1" applyAlignment="1">
      <alignment horizontal="center"/>
    </xf>
    <xf numFmtId="0" fontId="6" fillId="0" borderId="0" xfId="0" applyFont="1" applyFill="1" applyAlignment="1">
      <alignment horizontal="center" vertical="top"/>
    </xf>
    <xf numFmtId="0" fontId="6" fillId="0" borderId="0" xfId="0" applyFont="1" applyFill="1" applyAlignment="1">
      <alignment horizontal="left" vertical="top"/>
    </xf>
    <xf numFmtId="0" fontId="6" fillId="0" borderId="0" xfId="0" applyFont="1" applyFill="1" applyAlignment="1">
      <alignment horizontal="left" vertical="top" wrapText="1"/>
    </xf>
    <xf numFmtId="164" fontId="6" fillId="0" borderId="0" xfId="0" applyNumberFormat="1" applyFont="1" applyFill="1" applyAlignment="1">
      <alignment horizontal="left" vertical="top"/>
    </xf>
    <xf numFmtId="165" fontId="6" fillId="0" borderId="0" xfId="0" applyNumberFormat="1" applyFont="1" applyFill="1" applyAlignment="1">
      <alignment horizontal="left" vertical="top"/>
    </xf>
    <xf numFmtId="0" fontId="6" fillId="0" borderId="0" xfId="0" applyFont="1" applyFill="1" applyAlignment="1">
      <alignment vertical="top" wrapText="1"/>
    </xf>
  </cellXfs>
  <cellStyles count="4">
    <cellStyle name="Heading 1" xfId="3" builtinId="16"/>
    <cellStyle name="Heading 2" xfId="1" builtinId="17"/>
    <cellStyle name="Heading 3" xfId="2" builtinId="18"/>
    <cellStyle name="Normal" xfId="0" builtinId="0"/>
  </cellStyles>
  <dxfs count="73">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center" vertical="top" textRotation="0" wrapText="0"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5" formatCode="dd\-mmm\-yyyy\ hh\:m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numFmt numFmtId="164" formatCode="yyyy\-mm\-dd"/>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1" indent="0" justifyLastLine="0" shrinkToFit="0" readingOrder="0"/>
    </dxf>
    <dxf>
      <font>
        <b val="0"/>
        <i val="0"/>
        <strike val="0"/>
        <outline val="0"/>
        <shadow val="0"/>
        <u val="none"/>
        <vertAlign val="baseline"/>
        <sz val="10"/>
        <color theme="2" tint="-0.89999084444715716"/>
        <name val="Arial"/>
        <family val="2"/>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center" vertical="top" textRotation="0" wrapText="0" indent="0" justifyLastLine="0" shrinkToFit="0" readingOrder="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fill>
        <patternFill patternType="none">
          <fgColor indexed="64"/>
          <bgColor auto="1"/>
        </patternFill>
      </fill>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border outline="0">
        <bottom style="thick">
          <color theme="4" tint="0.499984740745262"/>
        </bottom>
      </border>
    </dxf>
    <dxf>
      <font>
        <b/>
        <i val="0"/>
        <strike val="0"/>
        <condense val="0"/>
        <extend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DF4C26"/>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12</c:v>
                </c:pt>
                <c:pt idx="1">
                  <c:v>11</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0</c:v>
                </c:pt>
                <c:pt idx="1">
                  <c:v>0</c:v>
                </c:pt>
                <c:pt idx="2">
                  <c:v>0</c:v>
                </c:pt>
                <c:pt idx="3">
                  <c:v>23</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c:f>
              <c:strCache>
                <c:ptCount val="1"/>
                <c:pt idx="0">
                  <c:v>1.1. Registrasi</c:v>
                </c:pt>
              </c:strCache>
            </c:strRef>
          </c:cat>
          <c:val>
            <c:numRef>
              <c:f>Dashboard!$C$34</c:f>
              <c:numCache>
                <c:formatCode>General</c:formatCode>
                <c:ptCount val="1"/>
                <c:pt idx="0">
                  <c:v>23</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12856</xdr:colOff>
      <xdr:row>0</xdr:row>
      <xdr:rowOff>59691</xdr:rowOff>
    </xdr:from>
    <xdr:to>
      <xdr:col>10</xdr:col>
      <xdr:colOff>317500</xdr:colOff>
      <xdr:row>30</xdr:row>
      <xdr:rowOff>190500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50801</xdr:colOff>
      <xdr:row>0</xdr:row>
      <xdr:rowOff>57151</xdr:rowOff>
    </xdr:from>
    <xdr:to>
      <xdr:col>6</xdr:col>
      <xdr:colOff>342900</xdr:colOff>
      <xdr:row>30</xdr:row>
      <xdr:rowOff>190500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38100</xdr:rowOff>
        </xdr:from>
        <xdr:to>
          <xdr:col>1</xdr:col>
          <xdr:colOff>1266825</xdr:colOff>
          <xdr:row>8</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1514475</xdr:colOff>
          <xdr:row>7</xdr:row>
          <xdr:rowOff>38100</xdr:rowOff>
        </xdr:from>
        <xdr:to>
          <xdr:col>2</xdr:col>
          <xdr:colOff>619125</xdr:colOff>
          <xdr:row>8</xdr:row>
          <xdr:rowOff>142875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375623"/>
                  </a:solidFill>
                  <a:latin typeface="ArialMT"/>
                </a:rPr>
                <a:t>Delete Last Record</a:t>
              </a:r>
            </a:p>
          </xdr:txBody>
        </xdr:sp>
        <xdr:clientData fPrintsWithSheet="0"/>
      </xdr:twoCellAnchor>
    </mc:Choice>
    <mc:Fallback/>
  </mc:AlternateContent>
  <xdr:twoCellAnchor>
    <xdr:from>
      <xdr:col>0</xdr:col>
      <xdr:colOff>0</xdr:colOff>
      <xdr:row>0</xdr:row>
      <xdr:rowOff>0</xdr:rowOff>
    </xdr:from>
    <xdr:to>
      <xdr:col>6</xdr:col>
      <xdr:colOff>444501</xdr:colOff>
      <xdr:row>7</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0" y="0"/>
          <a:ext cx="5578476" cy="1133475"/>
          <a:chOff x="0" y="0"/>
          <a:chExt cx="5575301" cy="1130300"/>
        </a:xfrm>
      </xdr:grpSpPr>
      <xdr:sp macro="" textlink="">
        <xdr:nvSpPr>
          <xdr:cNvPr id="18" name="Rectangle 17">
            <a:extLst>
              <a:ext uri="{FF2B5EF4-FFF2-40B4-BE49-F238E27FC236}">
                <a16:creationId xmlns:a16="http://schemas.microsoft.com/office/drawing/2014/main" id="{00000000-0008-0000-0100-000012000000}"/>
              </a:ext>
            </a:extLst>
          </xdr:cNvPr>
          <xdr:cNvSpPr/>
        </xdr:nvSpPr>
        <xdr:spPr>
          <a:xfrm>
            <a:off x="1" y="0"/>
            <a:ext cx="5575300" cy="1130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100-000013000000}"/>
              </a:ext>
            </a:extLst>
          </xdr:cNvPr>
          <xdr:cNvSpPr>
            <a:spLocks/>
          </xdr:cNvSpPr>
        </xdr:nvSpPr>
        <xdr:spPr>
          <a:xfrm>
            <a:off x="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Project Name</a:t>
            </a:r>
          </a:p>
        </xdr:txBody>
      </xdr:sp>
      <xdr:sp macro="" textlink="">
        <xdr:nvSpPr>
          <xdr:cNvPr id="20" name="Rectangle 19">
            <a:extLst>
              <a:ext uri="{FF2B5EF4-FFF2-40B4-BE49-F238E27FC236}">
                <a16:creationId xmlns:a16="http://schemas.microsoft.com/office/drawing/2014/main" id="{00000000-0008-0000-0100-000014000000}"/>
              </a:ext>
            </a:extLst>
          </xdr:cNvPr>
          <xdr:cNvSpPr/>
        </xdr:nvSpPr>
        <xdr:spPr>
          <a:xfrm>
            <a:off x="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Web</a:t>
            </a:r>
            <a:r>
              <a:rPr lang="en-US" sz="1100" baseline="0">
                <a:solidFill>
                  <a:schemeClr val="tx1">
                    <a:lumMod val="50000"/>
                    <a:lumOff val="50000"/>
                  </a:schemeClr>
                </a:solidFill>
                <a:latin typeface="Arial Rounded MT Bold" panose="020F0704030504030204" pitchFamily="34" charset="77"/>
              </a:rPr>
              <a:t> SEVA</a:t>
            </a:r>
            <a:endParaRPr lang="en-US" sz="1100">
              <a:solidFill>
                <a:schemeClr val="tx1">
                  <a:lumMod val="50000"/>
                  <a:lumOff val="50000"/>
                </a:schemeClr>
              </a:solidFill>
              <a:latin typeface="Arial Rounded MT Bold" panose="020F0704030504030204" pitchFamily="34" charset="77"/>
            </a:endParaRPr>
          </a:p>
        </xdr:txBody>
      </xdr:sp>
      <xdr:sp macro="" textlink="">
        <xdr:nvSpPr>
          <xdr:cNvPr id="21" name="Rectangle 20">
            <a:extLst>
              <a:ext uri="{FF2B5EF4-FFF2-40B4-BE49-F238E27FC236}">
                <a16:creationId xmlns:a16="http://schemas.microsoft.com/office/drawing/2014/main" id="{00000000-0008-0000-0100-000015000000}"/>
              </a:ext>
            </a:extLst>
          </xdr:cNvPr>
          <xdr:cNvSpPr>
            <a:spLocks/>
          </xdr:cNvSpPr>
        </xdr:nvSpPr>
        <xdr:spPr>
          <a:xfrm>
            <a:off x="254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Start</a:t>
            </a:r>
            <a:r>
              <a:rPr lang="en-US" sz="1600" baseline="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 Date</a:t>
            </a:r>
            <a:endPar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
        <xdr:nvSpPr>
          <xdr:cNvPr id="22" name="Rectangle 21">
            <a:extLst>
              <a:ext uri="{FF2B5EF4-FFF2-40B4-BE49-F238E27FC236}">
                <a16:creationId xmlns:a16="http://schemas.microsoft.com/office/drawing/2014/main" id="{00000000-0008-0000-0100-000016000000}"/>
              </a:ext>
            </a:extLst>
          </xdr:cNvPr>
          <xdr:cNvSpPr/>
        </xdr:nvSpPr>
        <xdr:spPr>
          <a:xfrm>
            <a:off x="254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lumMod val="50000"/>
                    <a:lumOff val="50000"/>
                  </a:schemeClr>
                </a:solidFill>
                <a:latin typeface="Arial Rounded MT Bold" panose="020F0704030504030204" pitchFamily="34" charset="77"/>
              </a:rPr>
              <a:t>08 Mei</a:t>
            </a:r>
            <a:r>
              <a:rPr lang="en-US" sz="1100">
                <a:solidFill>
                  <a:schemeClr val="tx1">
                    <a:lumMod val="50000"/>
                    <a:lumOff val="50000"/>
                  </a:schemeClr>
                </a:solidFill>
                <a:latin typeface="Arial Rounded MT Bold" panose="020F0704030504030204" pitchFamily="34" charset="77"/>
              </a:rPr>
              <a:t> 2022</a:t>
            </a:r>
          </a:p>
        </xdr:txBody>
      </xdr:sp>
      <xdr:sp macro="" textlink="">
        <xdr:nvSpPr>
          <xdr:cNvPr id="23" name="Rectangle 22">
            <a:extLst>
              <a:ext uri="{FF2B5EF4-FFF2-40B4-BE49-F238E27FC236}">
                <a16:creationId xmlns:a16="http://schemas.microsoft.com/office/drawing/2014/main" id="{00000000-0008-0000-0100-000017000000}"/>
              </a:ext>
            </a:extLst>
          </xdr:cNvPr>
          <xdr:cNvSpPr>
            <a:spLocks/>
          </xdr:cNvSpPr>
        </xdr:nvSpPr>
        <xdr:spPr>
          <a:xfrm>
            <a:off x="281940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Base URL</a:t>
            </a:r>
          </a:p>
        </xdr:txBody>
      </xdr:sp>
      <xdr:sp macro="" textlink="">
        <xdr:nvSpPr>
          <xdr:cNvPr id="24" name="Rectangle 23">
            <a:extLst>
              <a:ext uri="{FF2B5EF4-FFF2-40B4-BE49-F238E27FC236}">
                <a16:creationId xmlns:a16="http://schemas.microsoft.com/office/drawing/2014/main" id="{00000000-0008-0000-0100-000018000000}"/>
              </a:ext>
            </a:extLst>
          </xdr:cNvPr>
          <xdr:cNvSpPr/>
        </xdr:nvSpPr>
        <xdr:spPr>
          <a:xfrm>
            <a:off x="281940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https://www.dev.sevaio.xyz/</a:t>
            </a:r>
          </a:p>
        </xdr:txBody>
      </xdr:sp>
      <xdr:sp macro="" textlink="">
        <xdr:nvSpPr>
          <xdr:cNvPr id="25" name="Rectangle 24">
            <a:extLst>
              <a:ext uri="{FF2B5EF4-FFF2-40B4-BE49-F238E27FC236}">
                <a16:creationId xmlns:a16="http://schemas.microsoft.com/office/drawing/2014/main" id="{00000000-0008-0000-0100-000019000000}"/>
              </a:ext>
            </a:extLst>
          </xdr:cNvPr>
          <xdr:cNvSpPr>
            <a:spLocks/>
          </xdr:cNvSpPr>
        </xdr:nvSpPr>
        <xdr:spPr>
          <a:xfrm>
            <a:off x="28321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End date</a:t>
            </a:r>
          </a:p>
        </xdr:txBody>
      </xdr:sp>
      <xdr:sp macro="" textlink="">
        <xdr:nvSpPr>
          <xdr:cNvPr id="26" name="Rectangle 25">
            <a:extLst>
              <a:ext uri="{FF2B5EF4-FFF2-40B4-BE49-F238E27FC236}">
                <a16:creationId xmlns:a16="http://schemas.microsoft.com/office/drawing/2014/main" id="{00000000-0008-0000-0100-00001A000000}"/>
              </a:ext>
            </a:extLst>
          </xdr:cNvPr>
          <xdr:cNvSpPr/>
        </xdr:nvSpPr>
        <xdr:spPr>
          <a:xfrm>
            <a:off x="28321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09 Mei 2022</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7</xdr:row>
          <xdr:rowOff>38100</xdr:rowOff>
        </xdr:from>
        <xdr:to>
          <xdr:col>1</xdr:col>
          <xdr:colOff>1266825</xdr:colOff>
          <xdr:row>8</xdr:row>
          <xdr:rowOff>142875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1514475</xdr:colOff>
          <xdr:row>7</xdr:row>
          <xdr:rowOff>38100</xdr:rowOff>
        </xdr:from>
        <xdr:to>
          <xdr:col>2</xdr:col>
          <xdr:colOff>619125</xdr:colOff>
          <xdr:row>8</xdr:row>
          <xdr:rowOff>142875</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D" sz="1100" b="0" i="0" u="none" strike="noStrike" baseline="0">
                  <a:solidFill>
                    <a:srgbClr val="375623"/>
                  </a:solidFill>
                  <a:latin typeface="ArialMT"/>
                </a:rPr>
                <a:t>Delete Last Record</a:t>
              </a:r>
            </a:p>
          </xdr:txBody>
        </xdr:sp>
        <xdr:clientData fPrintsWithSheet="0"/>
      </xdr:twoCellAnchor>
    </mc:Choice>
    <mc:Fallback/>
  </mc:AlternateContent>
  <xdr:twoCellAnchor>
    <xdr:from>
      <xdr:col>0</xdr:col>
      <xdr:colOff>0</xdr:colOff>
      <xdr:row>0</xdr:row>
      <xdr:rowOff>0</xdr:rowOff>
    </xdr:from>
    <xdr:to>
      <xdr:col>6</xdr:col>
      <xdr:colOff>444501</xdr:colOff>
      <xdr:row>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0" y="0"/>
          <a:ext cx="5578476" cy="1133475"/>
          <a:chOff x="0" y="0"/>
          <a:chExt cx="5575301" cy="11303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1" y="0"/>
            <a:ext cx="5575300" cy="1130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a:spLocks/>
          </xdr:cNvSpPr>
        </xdr:nvSpPr>
        <xdr:spPr>
          <a:xfrm>
            <a:off x="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Project Name</a:t>
            </a:r>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Web</a:t>
            </a:r>
            <a:r>
              <a:rPr lang="en-US" sz="1100" baseline="0">
                <a:solidFill>
                  <a:schemeClr val="tx1">
                    <a:lumMod val="50000"/>
                    <a:lumOff val="50000"/>
                  </a:schemeClr>
                </a:solidFill>
                <a:latin typeface="Arial Rounded MT Bold" panose="020F0704030504030204" pitchFamily="34" charset="77"/>
              </a:rPr>
              <a:t> SEVA</a:t>
            </a:r>
            <a:endParaRPr lang="en-US" sz="1100">
              <a:solidFill>
                <a:schemeClr val="tx1">
                  <a:lumMod val="50000"/>
                  <a:lumOff val="50000"/>
                </a:schemeClr>
              </a:solidFill>
              <a:latin typeface="Arial Rounded MT Bold" panose="020F0704030504030204" pitchFamily="34" charset="77"/>
            </a:endParaRPr>
          </a:p>
        </xdr:txBody>
      </xdr:sp>
      <xdr:sp macro="" textlink="">
        <xdr:nvSpPr>
          <xdr:cNvPr id="20" name="Rectangle 19">
            <a:extLst>
              <a:ext uri="{FF2B5EF4-FFF2-40B4-BE49-F238E27FC236}">
                <a16:creationId xmlns:a16="http://schemas.microsoft.com/office/drawing/2014/main" id="{00000000-0008-0000-0200-000014000000}"/>
              </a:ext>
            </a:extLst>
          </xdr:cNvPr>
          <xdr:cNvSpPr>
            <a:spLocks/>
          </xdr:cNvSpPr>
        </xdr:nvSpPr>
        <xdr:spPr>
          <a:xfrm>
            <a:off x="254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Start</a:t>
            </a:r>
            <a:r>
              <a:rPr lang="en-US" sz="1600" baseline="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 Date</a:t>
            </a:r>
            <a:endPar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
        <xdr:nvSpPr>
          <xdr:cNvPr id="21" name="Rectangle 20">
            <a:extLst>
              <a:ext uri="{FF2B5EF4-FFF2-40B4-BE49-F238E27FC236}">
                <a16:creationId xmlns:a16="http://schemas.microsoft.com/office/drawing/2014/main" id="{00000000-0008-0000-0200-000015000000}"/>
              </a:ext>
            </a:extLst>
          </xdr:cNvPr>
          <xdr:cNvSpPr/>
        </xdr:nvSpPr>
        <xdr:spPr>
          <a:xfrm>
            <a:off x="254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lumMod val="50000"/>
                    <a:lumOff val="50000"/>
                  </a:schemeClr>
                </a:solidFill>
                <a:latin typeface="Arial Rounded MT Bold" panose="020F0704030504030204" pitchFamily="34" charset="77"/>
              </a:rPr>
              <a:t>08 Mei</a:t>
            </a:r>
            <a:r>
              <a:rPr lang="en-US" sz="1100">
                <a:solidFill>
                  <a:schemeClr val="tx1">
                    <a:lumMod val="50000"/>
                    <a:lumOff val="50000"/>
                  </a:schemeClr>
                </a:solidFill>
                <a:latin typeface="Arial Rounded MT Bold" panose="020F0704030504030204" pitchFamily="34" charset="77"/>
              </a:rPr>
              <a:t> 2022</a:t>
            </a:r>
          </a:p>
        </xdr:txBody>
      </xdr:sp>
      <xdr:sp macro="" textlink="">
        <xdr:nvSpPr>
          <xdr:cNvPr id="22" name="Rectangle 21">
            <a:extLst>
              <a:ext uri="{FF2B5EF4-FFF2-40B4-BE49-F238E27FC236}">
                <a16:creationId xmlns:a16="http://schemas.microsoft.com/office/drawing/2014/main" id="{00000000-0008-0000-0200-000016000000}"/>
              </a:ext>
            </a:extLst>
          </xdr:cNvPr>
          <xdr:cNvSpPr>
            <a:spLocks/>
          </xdr:cNvSpPr>
        </xdr:nvSpPr>
        <xdr:spPr>
          <a:xfrm>
            <a:off x="2819400" y="10601"/>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Base URL</a:t>
            </a:r>
          </a:p>
        </xdr:txBody>
      </xdr:sp>
      <xdr:sp macro="" textlink="">
        <xdr:nvSpPr>
          <xdr:cNvPr id="23" name="Rectangle 22">
            <a:extLst>
              <a:ext uri="{FF2B5EF4-FFF2-40B4-BE49-F238E27FC236}">
                <a16:creationId xmlns:a16="http://schemas.microsoft.com/office/drawing/2014/main" id="{00000000-0008-0000-0200-000017000000}"/>
              </a:ext>
            </a:extLst>
          </xdr:cNvPr>
          <xdr:cNvSpPr/>
        </xdr:nvSpPr>
        <xdr:spPr>
          <a:xfrm>
            <a:off x="2819400" y="294915"/>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https://www.dev.sevaio.xyz/</a:t>
            </a:r>
          </a:p>
        </xdr:txBody>
      </xdr:sp>
      <xdr:sp macro="" textlink="">
        <xdr:nvSpPr>
          <xdr:cNvPr id="24" name="Rectangle 23">
            <a:extLst>
              <a:ext uri="{FF2B5EF4-FFF2-40B4-BE49-F238E27FC236}">
                <a16:creationId xmlns:a16="http://schemas.microsoft.com/office/drawing/2014/main" id="{00000000-0008-0000-0200-000018000000}"/>
              </a:ext>
            </a:extLst>
          </xdr:cNvPr>
          <xdr:cNvSpPr>
            <a:spLocks/>
          </xdr:cNvSpPr>
        </xdr:nvSpPr>
        <xdr:spPr>
          <a:xfrm>
            <a:off x="2832100" y="555059"/>
            <a:ext cx="2717800" cy="34982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82880" bIns="0" rtlCol="0" anchor="b"/>
          <a:lstStyle/>
          <a:p>
            <a:pPr algn="l"/>
            <a:r>
              <a:rPr lang="en-US" sz="1600">
                <a:solidFill>
                  <a:srgbClr val="DF4C26"/>
                </a:solidFill>
                <a:latin typeface="Arial Unicode MS" panose="020B0604020202020204" pitchFamily="34" charset="-128"/>
                <a:ea typeface="Arial Unicode MS" panose="020B0604020202020204" pitchFamily="34" charset="-128"/>
                <a:cs typeface="Arial Unicode MS" panose="020B0604020202020204" pitchFamily="34" charset="-128"/>
              </a:rPr>
              <a:t>End date</a:t>
            </a:r>
          </a:p>
        </xdr:txBody>
      </xdr:sp>
      <xdr:sp macro="" textlink="">
        <xdr:nvSpPr>
          <xdr:cNvPr id="25" name="Rectangle 24">
            <a:extLst>
              <a:ext uri="{FF2B5EF4-FFF2-40B4-BE49-F238E27FC236}">
                <a16:creationId xmlns:a16="http://schemas.microsoft.com/office/drawing/2014/main" id="{00000000-0008-0000-0200-000019000000}"/>
              </a:ext>
            </a:extLst>
          </xdr:cNvPr>
          <xdr:cNvSpPr/>
        </xdr:nvSpPr>
        <xdr:spPr>
          <a:xfrm>
            <a:off x="2832100" y="839374"/>
            <a:ext cx="2730500" cy="238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lumMod val="50000"/>
                    <a:lumOff val="50000"/>
                  </a:schemeClr>
                </a:solidFill>
                <a:latin typeface="Arial Rounded MT Bold" panose="020F0704030504030204" pitchFamily="34" charset="77"/>
              </a:rPr>
              <a:t>09 Mei 2022</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72" dataDxfId="71" headerRowCellStyle="Heading 2">
  <autoFilter ref="H33:I37" xr:uid="{39B49D68-9E8A-D34A-B9C6-E6ABF7ECF4E2}"/>
  <tableColumns count="2">
    <tableColumn id="1" xr3:uid="{567DBF3E-6AAB-F44B-A620-2B81C9A6B114}" name="STATUS" dataDxfId="70"/>
    <tableColumn id="2" xr3:uid="{00650F91-5404-F04C-9013-56844C846874}" name="TOTAL" dataDxfId="69">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Q36" totalsRowShown="0" headerRowDxfId="68" dataDxfId="66" headerRowBorderDxfId="67" headerRowCellStyle="Heading 2">
  <autoFilter ref="N33:Q36" xr:uid="{E7F708E7-6029-1341-8251-DF3DDDFF7B00}"/>
  <tableColumns count="4">
    <tableColumn id="1" xr3:uid="{440FA0DB-848F-9F48-9EDE-A92BB70EB242}" name="PIC" dataDxfId="65"/>
    <tableColumn id="2" xr3:uid="{BCFB4232-A96D-B74B-ADE9-74DE4F804D8D}" name="TOTAL_x000a_(Programmer)" dataDxfId="64">
      <calculatedColumnFormula>COUNTIF(Table_test_case[PIC],TablePic[[#This Row],[PIC]])</calculatedColumnFormula>
    </tableColumn>
    <tableColumn id="3" xr3:uid="{D6ACB6D1-1B68-FB43-B671-B4F0F6AF5E43}" name="TOTAL_x000a_(Created)" dataDxfId="63">
      <calculatedColumnFormula>COUNTIF(Table_test_case[CREATED
BY],TablePic[[#This Row],[PIC]])</calculatedColumnFormula>
    </tableColumn>
    <tableColumn id="4" xr3:uid="{0655C577-1DE7-A64E-A666-B7C43E2AC971}" name="TOTAL_x000a_(Executor)" dataDxfId="62">
      <calculatedColumnFormula>COUNTIF(Table_test_case[EXECUTED
BY],TablePic[[#This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61" dataDxfId="60" headerRowCellStyle="Heading 2">
  <autoFilter ref="K33:L37" xr:uid="{7A78BE29-BD42-E94C-B75E-07BC3539C64B}"/>
  <tableColumns count="2">
    <tableColumn id="1" xr3:uid="{3FBAF980-B046-1744-A68E-80FA60193677}" name="PRIORITY " dataDxfId="59"/>
    <tableColumn id="2" xr3:uid="{20CF8267-20CB-2447-B0EE-04CA0FFEC084}" name="TOTAL" dataDxfId="58">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57" dataDxfId="56" headerRowCellStyle="Heading 2">
  <autoFilter ref="E33:F35" xr:uid="{12B34AFC-8443-7646-A5FF-38B643D476A1}"/>
  <tableColumns count="2">
    <tableColumn id="1" xr3:uid="{E4B2D535-AD93-2241-822E-9CF430ABB581}" name="TYPE TEST" dataDxfId="55"/>
    <tableColumn id="2" xr3:uid="{B2FCB4DD-51A8-1548-8514-2F1B2803A7E8}" name="TOTAL" dataDxfId="54">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4" totalsRowShown="0" headerRowDxfId="53" dataDxfId="52" headerRowCellStyle="Heading 2">
  <autoFilter ref="B33:C34" xr:uid="{6C7EEE0D-7F76-2040-BCB4-250854C8F0F0}"/>
  <tableColumns count="2">
    <tableColumn id="2" xr3:uid="{715B60B1-67E3-3D45-A8B0-02B0A787B3D7}" name="PAGE" dataDxfId="51"/>
    <tableColumn id="3" xr3:uid="{A956E912-A71F-0145-AD97-1B193CC99877}" name="TOTAL" dataDxfId="50">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10:S33" totalsRowShown="0" headerRowDxfId="48" dataDxfId="46" headerRowBorderDxfId="47" tableBorderDxfId="45" totalsRowBorderDxfId="44" headerRowCellStyle="Heading 3">
  <autoFilter ref="A10:S33" xr:uid="{00000000-000C-0000-FFFF-FFFF00000000}">
    <filterColumn colId="3">
      <filters>
        <filter val="Positive"/>
      </filters>
    </filterColumn>
  </autoFilter>
  <tableColumns count="19">
    <tableColumn id="1" xr3:uid="{00000000-0010-0000-0000-000001000000}" name="NO." dataDxfId="43"/>
    <tableColumn id="2" xr3:uid="{00000000-0010-0000-0000-000002000000}" name="FUNGTION" dataDxfId="42"/>
    <tableColumn id="3" xr3:uid="{00000000-0010-0000-0000-000003000000}" name="TEST_x000a_CASE_x000a_ID" dataDxfId="41"/>
    <tableColumn id="17" xr3:uid="{00000000-0010-0000-0000-000011000000}" name="TEST TYPE" dataDxfId="40"/>
    <tableColumn id="22" xr3:uid="{00000000-0010-0000-0000-000016000000}" name="STATUS" dataDxfId="39"/>
    <tableColumn id="6" xr3:uid="{00000000-0010-0000-0000-000006000000}" name=" " dataDxfId="38"/>
    <tableColumn id="19" xr3:uid="{00000000-0010-0000-0000-000013000000}" name="DESCRIPTION" dataDxfId="37"/>
    <tableColumn id="18" xr3:uid="{00000000-0010-0000-0000-000012000000}" name="PREREQUISITES" dataDxfId="36"/>
    <tableColumn id="11" xr3:uid="{9AB612CD-71BC-BB42-81FC-2E43B928187C}" name="TEST DATA" dataDxfId="35"/>
    <tableColumn id="7" xr3:uid="{00000000-0010-0000-0000-000007000000}" name="TEST STEPS" dataDxfId="34"/>
    <tableColumn id="8" xr3:uid="{00000000-0010-0000-0000-000008000000}" name="EXPECTED RESULT" dataDxfId="33"/>
    <tableColumn id="9" xr3:uid="{00000000-0010-0000-0000-000009000000}" name="ACTUAL RESULT" dataDxfId="32"/>
    <tableColumn id="16" xr3:uid="{00000000-0010-0000-0000-000010000000}" name="NOTES" dataDxfId="31"/>
    <tableColumn id="5" xr3:uid="{AF37849C-47CF-1D42-9803-BA046E03AA35}" name="PRIORITY" dataDxfId="30"/>
    <tableColumn id="4" xr3:uid="{7D50DCE3-CDE0-D540-AD1E-7BD0F9C19C2B}" name="PIC" dataDxfId="29"/>
    <tableColumn id="12" xr3:uid="{00000000-0010-0000-0000-00000C000000}" name="CREATED_x000a_BY" dataDxfId="28"/>
    <tableColumn id="13" xr3:uid="{00000000-0010-0000-0000-00000D000000}" name="CREATED_x000a_ON" dataDxfId="27"/>
    <tableColumn id="14" xr3:uid="{00000000-0010-0000-0000-00000E000000}" name="EXECUTED_x000a_BY" dataDxfId="26"/>
    <tableColumn id="15" xr3:uid="{00000000-0010-0000-0000-00000F000000}" name="EXECUTED_x000a_ON" dataDxfId="25"/>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FF5B84E-E60F-4D13-9D4E-BC811A329B87}" name="Table_test_case7" displayName="Table_test_case7" ref="A10:S33" totalsRowShown="0" headerRowDxfId="23" dataDxfId="21" headerRowBorderDxfId="22" tableBorderDxfId="20" totalsRowBorderDxfId="19" headerRowCellStyle="Heading 3">
  <autoFilter ref="A10:S33" xr:uid="{5FF5B84E-E60F-4D13-9D4E-BC811A329B87}">
    <filterColumn colId="3">
      <filters>
        <filter val="Negative"/>
      </filters>
    </filterColumn>
  </autoFilter>
  <tableColumns count="19">
    <tableColumn id="1" xr3:uid="{864FC368-7967-4583-A1F2-C877330E4463}" name="NO." dataDxfId="18"/>
    <tableColumn id="2" xr3:uid="{DCF61A6A-95F7-46E9-9830-2EFDB9F77E81}" name="FUNGTION" dataDxfId="17"/>
    <tableColumn id="3" xr3:uid="{FADCE2FF-0ACE-4620-970A-A6DF69E1D8E1}" name="TEST_x000a_CASE_x000a_ID" dataDxfId="16"/>
    <tableColumn id="17" xr3:uid="{0A9BBABC-62A5-4B32-90F7-31F9A523C003}" name="TEST TYPE" dataDxfId="15"/>
    <tableColumn id="22" xr3:uid="{09608A6D-23D9-46A6-B161-FE0230176926}" name="STATUS" dataDxfId="14"/>
    <tableColumn id="6" xr3:uid="{92FAE687-214A-4EC4-BBD3-79041164F24D}" name=" " dataDxfId="13"/>
    <tableColumn id="19" xr3:uid="{0173F934-58EC-43AF-8648-DF8420A5E496}" name="DESCRIPTION" dataDxfId="12"/>
    <tableColumn id="18" xr3:uid="{B0644C41-0150-4FA4-91C7-0EEDCC31BCE6}" name="PREREQUISITES" dataDxfId="11"/>
    <tableColumn id="11" xr3:uid="{7E938433-6AB5-4525-86F0-22F90FA1B564}" name="TEST DATA" dataDxfId="10"/>
    <tableColumn id="7" xr3:uid="{3F27F690-503B-4EEB-8398-5EDF98299434}" name="TEST STEPS" dataDxfId="9"/>
    <tableColumn id="8" xr3:uid="{07C3A9BF-5045-47D0-B32A-221B3041F937}" name="EXPECTED RESULT" dataDxfId="8"/>
    <tableColumn id="9" xr3:uid="{50CD68B7-60AA-44B3-A1D3-B665D0100123}" name="ACTUAL RESULT" dataDxfId="7"/>
    <tableColumn id="16" xr3:uid="{E3B24908-A20D-4B72-BD4A-2DC18CE1E829}" name="NOTES" dataDxfId="6"/>
    <tableColumn id="5" xr3:uid="{D3C61CE9-18A3-4CE4-9602-C67C56B87399}" name="PRIORITY" dataDxfId="5"/>
    <tableColumn id="4" xr3:uid="{30B15FA2-0E5D-4379-A0F9-102FE99356BA}" name="PIC" dataDxfId="4"/>
    <tableColumn id="12" xr3:uid="{9BA53FFF-703C-4FD1-B173-9D0240D9390C}" name="CREATED_x000a_BY" dataDxfId="3"/>
    <tableColumn id="13" xr3:uid="{9C807A16-63E4-4C29-A9FF-E9A6D4EFECC4}" name="CREATED_x000a_ON" dataDxfId="2"/>
    <tableColumn id="14" xr3:uid="{869364C4-2D56-460F-8D36-2CC92D82D808}" name="EXECUTED_x000a_BY" dataDxfId="1"/>
    <tableColumn id="15" xr3:uid="{24E47A2E-5649-4398-B674-722CA0ECEC4D}" name="EXECUTED_x000a_ON"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omments" Target="../comments2.xml"/><Relationship Id="rId5" Type="http://schemas.openxmlformats.org/officeDocument/2006/relationships/table" Target="../tables/table7.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Q41"/>
  <sheetViews>
    <sheetView showGridLines="0" topLeftCell="A23" zoomScaleNormal="100" workbookViewId="0">
      <selection activeCell="O40" sqref="O40"/>
    </sheetView>
  </sheetViews>
  <sheetFormatPr defaultColWidth="10.875" defaultRowHeight="15"/>
  <cols>
    <col min="1" max="1" width="1.125" style="3" customWidth="1"/>
    <col min="2" max="2" width="35.875" style="3" customWidth="1"/>
    <col min="3" max="3" width="12.875" style="3" customWidth="1"/>
    <col min="4" max="4" width="5.125" style="3" customWidth="1"/>
    <col min="5" max="5" width="21.125" style="3" customWidth="1"/>
    <col min="6" max="6" width="12.875" style="3" customWidth="1"/>
    <col min="7" max="7" width="5.125" style="3" customWidth="1"/>
    <col min="8" max="8" width="21.125" style="3" customWidth="1"/>
    <col min="9" max="9" width="12.875" style="3" customWidth="1"/>
    <col min="10" max="10" width="5.125" style="3" customWidth="1"/>
    <col min="11" max="11" width="21.125" style="3" customWidth="1"/>
    <col min="12" max="12" width="12.875" style="3" customWidth="1"/>
    <col min="13" max="13" width="5.125" style="3" customWidth="1"/>
    <col min="14" max="14" width="21.125" style="3" customWidth="1"/>
    <col min="15" max="17" width="15" style="3" customWidth="1"/>
    <col min="18" max="18" width="16.5" style="3" bestFit="1" customWidth="1"/>
    <col min="19" max="19" width="22" style="3" bestFit="1" customWidth="1"/>
    <col min="20" max="16384" width="10.875" style="3"/>
  </cols>
  <sheetData>
    <row r="1" spans="1:16" ht="6" customHeight="1">
      <c r="A1" s="14"/>
      <c r="B1" s="14"/>
      <c r="C1" s="14"/>
      <c r="D1" s="14"/>
      <c r="E1" s="14"/>
      <c r="F1" s="14"/>
      <c r="G1" s="14"/>
      <c r="H1" s="14"/>
      <c r="I1" s="14"/>
      <c r="J1" s="14"/>
      <c r="K1" s="14"/>
      <c r="L1" s="14"/>
      <c r="M1" s="14"/>
      <c r="N1" s="14"/>
      <c r="O1" s="14"/>
      <c r="P1" s="15"/>
    </row>
    <row r="2" spans="1:16">
      <c r="A2" s="14"/>
      <c r="B2" s="14"/>
      <c r="C2" s="14"/>
      <c r="D2" s="14"/>
      <c r="E2" s="14"/>
      <c r="F2" s="14"/>
      <c r="G2" s="14"/>
      <c r="H2" s="14"/>
      <c r="I2" s="14"/>
      <c r="J2" s="14"/>
      <c r="K2" s="14"/>
      <c r="L2" s="14"/>
      <c r="M2" s="14"/>
      <c r="N2" s="14"/>
      <c r="O2" s="14"/>
      <c r="P2" s="15"/>
    </row>
    <row r="3" spans="1:16">
      <c r="A3" s="14"/>
      <c r="B3" s="14"/>
      <c r="C3" s="14"/>
      <c r="D3" s="14"/>
      <c r="E3" s="14"/>
      <c r="F3" s="14"/>
      <c r="G3" s="14"/>
      <c r="H3" s="14"/>
      <c r="I3" s="14"/>
      <c r="J3" s="14"/>
      <c r="K3" s="14"/>
      <c r="L3" s="14"/>
      <c r="M3" s="14"/>
      <c r="N3" s="14"/>
      <c r="O3" s="14"/>
      <c r="P3" s="15"/>
    </row>
    <row r="4" spans="1:16">
      <c r="A4" s="14"/>
      <c r="B4" s="14"/>
      <c r="C4" s="14"/>
      <c r="D4" s="14"/>
      <c r="E4" s="14"/>
      <c r="F4" s="14"/>
      <c r="G4" s="14"/>
      <c r="H4" s="14"/>
      <c r="I4" s="14"/>
      <c r="J4" s="14"/>
      <c r="K4" s="14"/>
      <c r="L4" s="14"/>
      <c r="M4" s="14"/>
      <c r="N4" s="14"/>
      <c r="O4" s="14"/>
      <c r="P4" s="15"/>
    </row>
    <row r="5" spans="1:16">
      <c r="A5" s="14"/>
      <c r="B5" s="14"/>
      <c r="C5" s="14"/>
      <c r="D5" s="14"/>
      <c r="E5" s="14"/>
      <c r="F5" s="14"/>
      <c r="G5" s="14"/>
      <c r="H5" s="14"/>
      <c r="I5" s="14"/>
      <c r="J5" s="14"/>
      <c r="K5" s="14"/>
      <c r="L5" s="14"/>
      <c r="M5" s="14"/>
      <c r="N5" s="14"/>
      <c r="O5" s="14"/>
      <c r="P5" s="15"/>
    </row>
    <row r="6" spans="1:16">
      <c r="A6" s="14"/>
      <c r="B6" s="14"/>
      <c r="C6" s="14"/>
      <c r="D6" s="14"/>
      <c r="E6" s="14"/>
      <c r="F6" s="14"/>
      <c r="G6" s="14"/>
      <c r="H6" s="14"/>
      <c r="I6" s="14"/>
      <c r="J6" s="14"/>
      <c r="K6" s="14"/>
      <c r="L6" s="14"/>
      <c r="M6" s="14"/>
      <c r="N6" s="14"/>
      <c r="O6" s="14"/>
      <c r="P6" s="15"/>
    </row>
    <row r="7" spans="1:16">
      <c r="A7" s="14"/>
      <c r="B7" s="14"/>
      <c r="C7" s="14"/>
      <c r="D7" s="14"/>
      <c r="E7" s="14"/>
      <c r="F7" s="14"/>
      <c r="G7" s="14"/>
      <c r="H7" s="14"/>
      <c r="I7" s="14"/>
      <c r="J7" s="14"/>
      <c r="K7" s="14"/>
      <c r="L7" s="14"/>
      <c r="M7" s="14"/>
      <c r="N7" s="14"/>
      <c r="O7" s="14"/>
      <c r="P7" s="15"/>
    </row>
    <row r="8" spans="1:16">
      <c r="A8" s="14"/>
      <c r="B8" s="14"/>
      <c r="C8" s="14"/>
      <c r="D8" s="14"/>
      <c r="E8" s="14"/>
      <c r="F8" s="14"/>
      <c r="G8" s="14"/>
      <c r="H8" s="14"/>
      <c r="I8" s="14"/>
      <c r="J8" s="14"/>
      <c r="K8" s="14"/>
      <c r="L8" s="14"/>
      <c r="M8" s="14"/>
      <c r="N8" s="14"/>
      <c r="O8" s="14"/>
      <c r="P8" s="15"/>
    </row>
    <row r="9" spans="1:16">
      <c r="A9" s="14"/>
      <c r="B9" s="14"/>
      <c r="C9" s="14"/>
      <c r="D9" s="14"/>
      <c r="E9" s="14"/>
      <c r="F9" s="14"/>
      <c r="G9" s="14"/>
      <c r="H9" s="14"/>
      <c r="I9" s="14"/>
      <c r="J9" s="14"/>
      <c r="K9" s="14"/>
      <c r="L9" s="14"/>
      <c r="M9" s="14"/>
      <c r="N9" s="14"/>
      <c r="O9" s="14"/>
      <c r="P9" s="15"/>
    </row>
    <row r="10" spans="1:16">
      <c r="A10" s="14"/>
      <c r="B10" s="14"/>
      <c r="C10" s="14"/>
      <c r="D10" s="14"/>
      <c r="E10" s="14"/>
      <c r="F10" s="14"/>
      <c r="G10" s="14"/>
      <c r="H10" s="14"/>
      <c r="I10" s="14"/>
      <c r="J10" s="14"/>
      <c r="K10" s="14"/>
      <c r="L10" s="14"/>
      <c r="M10" s="14"/>
      <c r="N10" s="14"/>
      <c r="O10" s="14"/>
      <c r="P10" s="15"/>
    </row>
    <row r="11" spans="1:16">
      <c r="A11" s="14"/>
      <c r="B11" s="14"/>
      <c r="C11" s="14"/>
      <c r="D11" s="14"/>
      <c r="E11" s="14"/>
      <c r="F11" s="14"/>
      <c r="G11" s="14"/>
      <c r="H11" s="14"/>
      <c r="I11" s="14"/>
      <c r="J11" s="14"/>
      <c r="K11" s="14"/>
      <c r="L11" s="14"/>
      <c r="M11" s="14"/>
      <c r="N11" s="14"/>
      <c r="O11" s="14"/>
      <c r="P11" s="15"/>
    </row>
    <row r="12" spans="1:16">
      <c r="A12" s="14"/>
      <c r="B12" s="14"/>
      <c r="C12" s="14"/>
      <c r="D12" s="14"/>
      <c r="E12" s="14"/>
      <c r="F12" s="14"/>
      <c r="G12" s="14"/>
      <c r="H12" s="14"/>
      <c r="I12" s="14"/>
      <c r="J12" s="14"/>
      <c r="K12" s="14"/>
      <c r="L12" s="14"/>
      <c r="M12" s="14"/>
      <c r="N12" s="14"/>
      <c r="O12" s="14"/>
      <c r="P12" s="15"/>
    </row>
    <row r="13" spans="1:16">
      <c r="A13" s="14"/>
      <c r="B13" s="14"/>
      <c r="C13" s="14"/>
      <c r="D13" s="14"/>
      <c r="E13" s="14"/>
      <c r="F13" s="14"/>
      <c r="G13" s="14"/>
      <c r="H13" s="14"/>
      <c r="I13" s="14"/>
      <c r="J13" s="14"/>
      <c r="K13" s="14"/>
      <c r="L13" s="14"/>
      <c r="M13" s="14"/>
      <c r="N13" s="14"/>
      <c r="O13" s="14"/>
      <c r="P13" s="15"/>
    </row>
    <row r="14" spans="1:16">
      <c r="A14" s="14"/>
      <c r="B14" s="14"/>
      <c r="C14" s="14"/>
      <c r="D14" s="14"/>
      <c r="E14" s="14"/>
      <c r="F14" s="14"/>
      <c r="G14" s="14"/>
      <c r="H14" s="14"/>
      <c r="I14" s="14"/>
      <c r="J14" s="14"/>
      <c r="K14" s="14"/>
      <c r="L14" s="14"/>
      <c r="M14" s="14"/>
      <c r="N14" s="14"/>
      <c r="O14" s="14"/>
      <c r="P14" s="15"/>
    </row>
    <row r="15" spans="1:16">
      <c r="A15" s="14"/>
      <c r="B15" s="14"/>
      <c r="C15" s="14"/>
      <c r="D15" s="14"/>
      <c r="E15" s="14"/>
      <c r="F15" s="14"/>
      <c r="G15" s="14"/>
      <c r="H15" s="14"/>
      <c r="I15" s="14"/>
      <c r="J15" s="14"/>
      <c r="K15" s="14"/>
      <c r="L15" s="14"/>
      <c r="M15" s="14"/>
      <c r="N15" s="14"/>
      <c r="O15" s="14"/>
      <c r="P15" s="15"/>
    </row>
    <row r="16" spans="1:16">
      <c r="A16" s="14"/>
      <c r="B16" s="14"/>
      <c r="C16" s="14"/>
      <c r="D16" s="14"/>
      <c r="E16" s="14"/>
      <c r="F16" s="14"/>
      <c r="G16" s="14"/>
      <c r="H16" s="14"/>
      <c r="I16" s="14"/>
      <c r="J16" s="14"/>
      <c r="K16" s="14"/>
      <c r="L16" s="14"/>
      <c r="M16" s="14"/>
      <c r="N16" s="14"/>
      <c r="O16" s="14"/>
      <c r="P16" s="15"/>
    </row>
    <row r="17" spans="1:16">
      <c r="A17" s="14"/>
      <c r="B17" s="14"/>
      <c r="C17" s="14"/>
      <c r="D17" s="14"/>
      <c r="E17" s="14"/>
      <c r="F17" s="14"/>
      <c r="G17" s="14"/>
      <c r="H17" s="14"/>
      <c r="I17" s="14"/>
      <c r="J17" s="14"/>
      <c r="K17" s="14"/>
      <c r="L17" s="14"/>
      <c r="M17" s="14"/>
      <c r="N17" s="14"/>
      <c r="O17" s="14"/>
      <c r="P17" s="15"/>
    </row>
    <row r="18" spans="1:16">
      <c r="A18" s="14"/>
      <c r="B18" s="14"/>
      <c r="C18" s="14"/>
      <c r="D18" s="14"/>
      <c r="E18" s="14"/>
      <c r="F18" s="14"/>
      <c r="G18" s="14"/>
      <c r="H18" s="14"/>
      <c r="I18" s="14"/>
      <c r="J18" s="14"/>
      <c r="K18" s="14"/>
      <c r="L18" s="14"/>
      <c r="M18" s="14"/>
      <c r="N18" s="14"/>
      <c r="O18" s="14"/>
      <c r="P18" s="15"/>
    </row>
    <row r="19" spans="1:16">
      <c r="A19" s="14"/>
      <c r="B19" s="14"/>
      <c r="C19" s="14"/>
      <c r="D19" s="14"/>
      <c r="E19" s="14"/>
      <c r="F19" s="14"/>
      <c r="G19" s="14"/>
      <c r="H19" s="14"/>
      <c r="I19" s="14"/>
      <c r="J19" s="14"/>
      <c r="K19" s="14"/>
      <c r="L19" s="14"/>
      <c r="M19" s="14"/>
      <c r="N19" s="14"/>
      <c r="O19" s="14"/>
      <c r="P19" s="15"/>
    </row>
    <row r="20" spans="1:16">
      <c r="A20" s="14"/>
      <c r="B20" s="14"/>
      <c r="C20" s="14"/>
      <c r="D20" s="14"/>
      <c r="E20" s="14"/>
      <c r="F20" s="14"/>
      <c r="G20" s="14"/>
      <c r="H20" s="14"/>
      <c r="I20" s="14"/>
      <c r="J20" s="14"/>
      <c r="K20" s="14"/>
      <c r="L20" s="14"/>
      <c r="M20" s="14"/>
      <c r="N20" s="14"/>
      <c r="O20" s="14"/>
      <c r="P20" s="15"/>
    </row>
    <row r="21" spans="1:16">
      <c r="A21" s="14"/>
      <c r="B21" s="14"/>
      <c r="C21" s="14"/>
      <c r="D21" s="14"/>
      <c r="E21" s="14"/>
      <c r="F21" s="14"/>
      <c r="G21" s="14"/>
      <c r="H21" s="14"/>
      <c r="I21" s="14"/>
      <c r="J21" s="14"/>
      <c r="K21" s="14"/>
      <c r="L21" s="14"/>
      <c r="M21" s="14"/>
      <c r="N21" s="14"/>
      <c r="O21" s="14"/>
      <c r="P21" s="15"/>
    </row>
    <row r="22" spans="1:16">
      <c r="A22" s="14"/>
      <c r="B22" s="14"/>
      <c r="C22" s="14"/>
      <c r="D22" s="14"/>
      <c r="E22" s="14"/>
      <c r="F22" s="14"/>
      <c r="G22" s="14"/>
      <c r="H22" s="14"/>
      <c r="I22" s="14"/>
      <c r="J22" s="14"/>
      <c r="K22" s="14"/>
      <c r="L22" s="14"/>
      <c r="M22" s="14"/>
      <c r="N22" s="14"/>
      <c r="O22" s="14"/>
      <c r="P22" s="15"/>
    </row>
    <row r="23" spans="1:16">
      <c r="A23" s="14"/>
      <c r="B23" s="14"/>
      <c r="C23" s="14"/>
      <c r="D23" s="14"/>
      <c r="E23" s="14"/>
      <c r="F23" s="14"/>
      <c r="G23" s="14"/>
      <c r="H23" s="14"/>
      <c r="I23" s="14"/>
      <c r="J23" s="14"/>
      <c r="K23" s="14"/>
      <c r="L23" s="14"/>
      <c r="M23" s="14"/>
      <c r="N23" s="14"/>
      <c r="O23" s="14"/>
      <c r="P23" s="15"/>
    </row>
    <row r="24" spans="1:16">
      <c r="A24" s="14"/>
      <c r="B24" s="14"/>
      <c r="C24" s="14"/>
      <c r="D24" s="14"/>
      <c r="E24" s="14"/>
      <c r="F24" s="14"/>
      <c r="G24" s="14"/>
      <c r="H24" s="14"/>
      <c r="I24" s="14"/>
      <c r="J24" s="14"/>
      <c r="K24" s="14"/>
      <c r="L24" s="14"/>
      <c r="M24" s="14"/>
      <c r="N24" s="14"/>
      <c r="O24" s="14"/>
      <c r="P24" s="15"/>
    </row>
    <row r="25" spans="1:16">
      <c r="A25" s="14"/>
      <c r="B25" s="14"/>
      <c r="C25" s="14"/>
      <c r="D25" s="14"/>
      <c r="E25" s="14"/>
      <c r="F25" s="14"/>
      <c r="G25" s="14"/>
      <c r="H25" s="14"/>
      <c r="I25" s="14"/>
      <c r="J25" s="14"/>
      <c r="K25" s="14"/>
      <c r="L25" s="14"/>
      <c r="M25" s="14"/>
      <c r="N25" s="14"/>
      <c r="O25" s="14"/>
      <c r="P25" s="15"/>
    </row>
    <row r="26" spans="1:16">
      <c r="A26" s="14"/>
      <c r="B26" s="14"/>
      <c r="C26" s="14"/>
      <c r="D26" s="14"/>
      <c r="E26" s="14"/>
      <c r="F26" s="14"/>
      <c r="G26" s="14"/>
      <c r="H26" s="14"/>
      <c r="I26" s="14"/>
      <c r="J26" s="14"/>
      <c r="K26" s="14"/>
      <c r="L26" s="14"/>
      <c r="M26" s="14"/>
      <c r="N26" s="14"/>
      <c r="O26" s="14"/>
      <c r="P26" s="15"/>
    </row>
    <row r="27" spans="1:16">
      <c r="A27" s="14"/>
      <c r="B27" s="14"/>
      <c r="C27" s="14"/>
      <c r="D27" s="14"/>
      <c r="E27" s="14"/>
      <c r="F27" s="14"/>
      <c r="G27" s="14"/>
      <c r="H27" s="14"/>
      <c r="I27" s="14"/>
      <c r="J27" s="14"/>
      <c r="K27" s="14"/>
      <c r="L27" s="14"/>
      <c r="M27" s="14"/>
      <c r="N27" s="14"/>
      <c r="O27" s="14"/>
      <c r="P27" s="15"/>
    </row>
    <row r="28" spans="1:16" ht="15.95" customHeight="1">
      <c r="A28" s="14"/>
      <c r="B28" s="14"/>
      <c r="C28" s="14"/>
      <c r="D28" s="14"/>
      <c r="E28" s="14"/>
      <c r="F28" s="14"/>
      <c r="G28" s="14"/>
      <c r="H28" s="14"/>
      <c r="I28" s="14"/>
      <c r="J28" s="14"/>
      <c r="K28" s="14"/>
      <c r="L28" s="14"/>
      <c r="M28" s="14"/>
      <c r="N28" s="14"/>
      <c r="O28" s="14"/>
      <c r="P28" s="15"/>
    </row>
    <row r="29" spans="1:16" ht="15.95" customHeight="1">
      <c r="A29" s="14"/>
      <c r="B29" s="14"/>
      <c r="C29" s="14"/>
      <c r="D29" s="14"/>
      <c r="E29" s="14"/>
      <c r="F29" s="14"/>
      <c r="G29" s="14"/>
      <c r="H29" s="14"/>
      <c r="I29" s="14"/>
      <c r="J29" s="14"/>
      <c r="K29" s="14"/>
      <c r="L29" s="14"/>
      <c r="M29" s="14"/>
      <c r="N29" s="14"/>
      <c r="O29" s="14"/>
      <c r="P29" s="15"/>
    </row>
    <row r="30" spans="1:16" ht="15.95" customHeight="1">
      <c r="A30" s="14"/>
      <c r="B30" s="14"/>
      <c r="C30" s="14"/>
      <c r="D30" s="14"/>
      <c r="E30" s="14"/>
      <c r="F30" s="14"/>
      <c r="G30" s="14"/>
      <c r="H30" s="14"/>
      <c r="I30" s="14"/>
      <c r="J30" s="14"/>
      <c r="K30" s="14"/>
      <c r="L30" s="14"/>
      <c r="M30" s="14"/>
      <c r="N30" s="14"/>
      <c r="O30" s="14"/>
      <c r="P30" s="15"/>
    </row>
    <row r="31" spans="1:16" ht="15.95" customHeight="1">
      <c r="A31" s="14"/>
      <c r="B31" s="14"/>
      <c r="C31" s="14"/>
      <c r="D31" s="14"/>
      <c r="E31" s="14"/>
      <c r="F31" s="14"/>
      <c r="G31" s="14"/>
      <c r="H31" s="14"/>
      <c r="I31" s="14"/>
      <c r="J31" s="14"/>
      <c r="K31" s="14"/>
      <c r="L31" s="14"/>
      <c r="M31" s="14"/>
      <c r="N31" s="14"/>
      <c r="O31" s="14"/>
      <c r="P31" s="15"/>
    </row>
    <row r="32" spans="1:16" ht="8.1" customHeight="1">
      <c r="P32" s="16"/>
    </row>
    <row r="33" spans="2:17" ht="42" customHeight="1" thickBot="1">
      <c r="B33" s="25" t="s">
        <v>33</v>
      </c>
      <c r="C33" s="26" t="s">
        <v>34</v>
      </c>
      <c r="D33" s="27"/>
      <c r="E33" s="25" t="s">
        <v>32</v>
      </c>
      <c r="F33" s="26" t="s">
        <v>34</v>
      </c>
      <c r="G33" s="27"/>
      <c r="H33" s="25" t="s">
        <v>6</v>
      </c>
      <c r="I33" s="26" t="s">
        <v>34</v>
      </c>
      <c r="J33" s="27"/>
      <c r="K33" s="25" t="s">
        <v>27</v>
      </c>
      <c r="L33" s="26" t="s">
        <v>34</v>
      </c>
      <c r="M33" s="27"/>
      <c r="N33" s="25" t="s">
        <v>10</v>
      </c>
      <c r="O33" s="28" t="s">
        <v>37</v>
      </c>
      <c r="P33" s="28" t="s">
        <v>38</v>
      </c>
      <c r="Q33" s="28" t="s">
        <v>39</v>
      </c>
    </row>
    <row r="34" spans="2:17" ht="15.75" thickTop="1">
      <c r="B34" s="23" t="s">
        <v>41</v>
      </c>
      <c r="C34" s="29">
        <f>COUNTIF(Table_test_case[FUNGTION],TablePage[[#This Row],[PAGE]])</f>
        <v>23</v>
      </c>
      <c r="D34" s="23"/>
      <c r="E34" s="23" t="s">
        <v>8</v>
      </c>
      <c r="F34" s="29">
        <f>COUNTIF(Table_test_case[TEST TYPE],TableTestType[[#This Row],[TYPE TEST]])</f>
        <v>12</v>
      </c>
      <c r="G34" s="23"/>
      <c r="H34" s="23" t="s">
        <v>23</v>
      </c>
      <c r="I34" s="29">
        <f>COUNTIF(Table_test_case[STATUS],TableStatus[[#This Row],[STATUS]])</f>
        <v>0</v>
      </c>
      <c r="J34" s="23"/>
      <c r="K34" s="23" t="s">
        <v>28</v>
      </c>
      <c r="L34" s="29">
        <f>COUNTIF(Table_test_case[PRIORITY],TablePriority[[#This Row],[PRIORITY ]])</f>
        <v>0</v>
      </c>
      <c r="M34" s="23"/>
      <c r="N34" s="23" t="s">
        <v>40</v>
      </c>
      <c r="O34" s="29">
        <f>COUNTIF(Table_test_case[PIC],TablePic[[#This Row],[PIC]])</f>
        <v>0</v>
      </c>
      <c r="P34" s="29">
        <f>COUNTIF(Table_test_case[CREATED
BY],TablePic[[#This Row],[PIC]])</f>
        <v>23</v>
      </c>
      <c r="Q34" s="29">
        <f>COUNTIF(Table_test_case[EXECUTED
BY],TablePic[[#This Row],[PIC]])</f>
        <v>0</v>
      </c>
    </row>
    <row r="35" spans="2:17">
      <c r="B35" s="23"/>
      <c r="C35" s="29"/>
      <c r="D35" s="23"/>
      <c r="E35" s="23" t="s">
        <v>11</v>
      </c>
      <c r="F35" s="29">
        <f>COUNTIF(Table_test_case[TEST TYPE],TableTestType[[#This Row],[TYPE TEST]])</f>
        <v>11</v>
      </c>
      <c r="G35" s="23"/>
      <c r="H35" s="23" t="s">
        <v>24</v>
      </c>
      <c r="I35" s="29">
        <f>COUNTIF(Table_test_case[STATUS],TableStatus[[#This Row],[STATUS]])</f>
        <v>0</v>
      </c>
      <c r="J35" s="23"/>
      <c r="K35" s="23" t="s">
        <v>29</v>
      </c>
      <c r="L35" s="29">
        <f>COUNTIF(Table_test_case[PRIORITY],TablePriority[[#This Row],[PRIORITY ]])</f>
        <v>0</v>
      </c>
      <c r="M35" s="23"/>
      <c r="N35" s="23" t="s">
        <v>42</v>
      </c>
      <c r="O35" s="29">
        <f>COUNTIF(Table_test_case[PIC],TablePic[[#This Row],[PIC]])</f>
        <v>0</v>
      </c>
      <c r="P35" s="29">
        <f>COUNTIF(Table_test_case[CREATED
BY],TablePic[[#This Row],[PIC]])</f>
        <v>0</v>
      </c>
      <c r="Q35" s="29">
        <f>COUNTIF(Table_test_case[EXECUTED
BY],TablePic[[#This Row],[PIC]])</f>
        <v>0</v>
      </c>
    </row>
    <row r="36" spans="2:17">
      <c r="B36" s="23"/>
      <c r="C36" s="29"/>
      <c r="D36" s="23"/>
      <c r="E36" s="23"/>
      <c r="F36" s="23"/>
      <c r="G36" s="23"/>
      <c r="H36" s="23" t="s">
        <v>25</v>
      </c>
      <c r="I36" s="29">
        <f>COUNTIF(Table_test_case[STATUS],TableStatus[[#This Row],[STATUS]])</f>
        <v>0</v>
      </c>
      <c r="J36" s="23"/>
      <c r="K36" s="23" t="s">
        <v>30</v>
      </c>
      <c r="L36" s="29">
        <f>COUNTIF(Table_test_case[PRIORITY],TablePriority[[#This Row],[PRIORITY ]])</f>
        <v>0</v>
      </c>
      <c r="M36" s="23"/>
      <c r="N36" s="23" t="s">
        <v>43</v>
      </c>
      <c r="O36" s="29">
        <f>COUNTIF(Table_test_case[PIC],TablePic[[#This Row],[PIC]])</f>
        <v>0</v>
      </c>
      <c r="P36" s="29">
        <f>COUNTIF(Table_test_case[CREATED
BY],TablePic[[#This Row],[PIC]])</f>
        <v>0</v>
      </c>
      <c r="Q36" s="29">
        <f>COUNTIF(Table_test_case[EXECUTED
BY],TablePic[[#This Row],[PIC]])</f>
        <v>0</v>
      </c>
    </row>
    <row r="37" spans="2:17">
      <c r="B37" s="23"/>
      <c r="C37" s="29"/>
      <c r="D37" s="23"/>
      <c r="E37" s="23"/>
      <c r="F37" s="23"/>
      <c r="G37" s="23"/>
      <c r="H37" s="23" t="s">
        <v>20</v>
      </c>
      <c r="I37" s="29">
        <f>COUNTIF(Table_test_case[STATUS],TableStatus[[#This Row],[STATUS]])</f>
        <v>23</v>
      </c>
      <c r="J37" s="23"/>
      <c r="K37" s="23" t="s">
        <v>31</v>
      </c>
      <c r="L37" s="29">
        <f>COUNTIF(Table_test_case[PRIORITY],TablePriority[[#This Row],[PRIORITY ]])</f>
        <v>0</v>
      </c>
      <c r="M37" s="23"/>
      <c r="N37" s="23"/>
      <c r="O37" s="23"/>
      <c r="P37" s="23"/>
    </row>
    <row r="38" spans="2:17">
      <c r="B38" s="23"/>
      <c r="C38" s="29"/>
      <c r="D38" s="23"/>
      <c r="E38" s="23"/>
      <c r="F38" s="23"/>
      <c r="G38" s="23"/>
      <c r="H38" s="23"/>
      <c r="I38" s="24"/>
      <c r="J38" s="23"/>
      <c r="K38" s="23"/>
      <c r="L38" s="23"/>
      <c r="M38" s="23"/>
      <c r="N38" s="23"/>
      <c r="O38" s="23"/>
      <c r="P38" s="23"/>
    </row>
    <row r="39" spans="2:17">
      <c r="B39" s="23"/>
      <c r="C39" s="29"/>
      <c r="D39" s="23"/>
      <c r="E39" s="23"/>
      <c r="F39" s="23"/>
      <c r="G39" s="23"/>
      <c r="H39" s="23"/>
      <c r="I39" s="24"/>
      <c r="J39" s="23"/>
      <c r="K39" s="23"/>
      <c r="L39" s="23"/>
      <c r="M39" s="23"/>
      <c r="N39" s="23"/>
      <c r="O39" s="23"/>
      <c r="P39" s="23"/>
    </row>
    <row r="40" spans="2:17">
      <c r="B40" s="23"/>
      <c r="C40" s="29"/>
      <c r="D40" s="23"/>
      <c r="E40" s="23"/>
      <c r="F40" s="23"/>
      <c r="G40" s="23"/>
      <c r="H40" s="23"/>
      <c r="I40" s="24"/>
      <c r="J40" s="23"/>
      <c r="K40" s="23"/>
      <c r="L40" s="23"/>
      <c r="M40" s="23"/>
      <c r="N40" s="23"/>
      <c r="O40" s="23"/>
      <c r="P40" s="23"/>
    </row>
    <row r="41" spans="2:17">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7:T40"/>
  <sheetViews>
    <sheetView showGridLines="0" tabSelected="1" zoomScaleNormal="100" workbookViewId="0">
      <pane xSplit="6" ySplit="10" topLeftCell="G20" activePane="bottomRight" state="frozen"/>
      <selection activeCell="C17" sqref="C17:C18"/>
      <selection pane="topRight" activeCell="C17" sqref="C17:C18"/>
      <selection pane="bottomLeft" activeCell="C17" sqref="C17:C18"/>
      <selection pane="bottomRight" activeCell="G33" sqref="G33"/>
    </sheetView>
  </sheetViews>
  <sheetFormatPr defaultColWidth="9" defaultRowHeight="12.75"/>
  <cols>
    <col min="1" max="1" width="4" style="5" customWidth="1"/>
    <col min="2" max="2" width="30.875" style="5" customWidth="1"/>
    <col min="3" max="3" width="9.875" style="5" customWidth="1"/>
    <col min="4" max="4" width="9.5" style="5" bestFit="1" customWidth="1"/>
    <col min="5" max="5" width="11" style="5" customWidth="1"/>
    <col min="6" max="6" width="2.125" style="18" customWidth="1"/>
    <col min="7" max="12" width="35.625" style="5" customWidth="1"/>
    <col min="13" max="13" width="25.875" style="5" customWidth="1"/>
    <col min="14" max="14" width="16" style="5" customWidth="1"/>
    <col min="15" max="16" width="12.875" style="5" customWidth="1"/>
    <col min="17" max="17" width="16.875" style="5" customWidth="1"/>
    <col min="18" max="18" width="12.875" style="5" customWidth="1"/>
    <col min="19" max="19" width="16.875" style="5" customWidth="1"/>
    <col min="20" max="20" width="9" style="12"/>
    <col min="21" max="16384" width="9" style="5"/>
  </cols>
  <sheetData>
    <row r="7" spans="1:20">
      <c r="A7" s="22"/>
      <c r="B7" s="6"/>
      <c r="C7" s="20"/>
      <c r="D7" s="21"/>
      <c r="E7" s="6"/>
      <c r="F7" s="6"/>
      <c r="T7" s="5"/>
    </row>
    <row r="8" spans="1:20">
      <c r="A8" s="6"/>
      <c r="B8" s="9"/>
      <c r="F8" s="9"/>
      <c r="G8" s="10"/>
      <c r="H8" s="10"/>
      <c r="I8" s="10"/>
      <c r="J8" s="8"/>
      <c r="K8" s="6"/>
      <c r="L8" s="6"/>
      <c r="M8" s="6"/>
      <c r="N8" s="6"/>
      <c r="O8" s="6"/>
      <c r="P8" s="6"/>
      <c r="Q8" s="6"/>
      <c r="R8" s="6"/>
      <c r="S8" s="6"/>
      <c r="T8" s="5"/>
    </row>
    <row r="9" spans="1:20">
      <c r="A9" s="6"/>
      <c r="B9" s="6"/>
      <c r="F9" s="5"/>
      <c r="G9" s="7"/>
      <c r="H9" s="7"/>
      <c r="I9" s="7"/>
      <c r="J9" s="7"/>
      <c r="K9" s="6"/>
      <c r="L9" s="6"/>
      <c r="M9" s="6"/>
      <c r="N9" s="6"/>
      <c r="O9" s="6"/>
      <c r="P9" s="6"/>
      <c r="Q9" s="6"/>
      <c r="R9" s="6"/>
      <c r="S9" s="6"/>
      <c r="T9" s="5"/>
    </row>
    <row r="10" spans="1:20" ht="39" customHeight="1">
      <c r="A10" s="19" t="s">
        <v>0</v>
      </c>
      <c r="B10" s="19" t="s">
        <v>1</v>
      </c>
      <c r="C10" s="19" t="s">
        <v>21</v>
      </c>
      <c r="D10" s="19" t="s">
        <v>5</v>
      </c>
      <c r="E10" s="19" t="s">
        <v>6</v>
      </c>
      <c r="F10" s="19" t="s">
        <v>35</v>
      </c>
      <c r="G10" s="19" t="s">
        <v>14</v>
      </c>
      <c r="H10" s="19" t="s">
        <v>15</v>
      </c>
      <c r="I10" s="19" t="s">
        <v>36</v>
      </c>
      <c r="J10" s="19" t="s">
        <v>2</v>
      </c>
      <c r="K10" s="19" t="s">
        <v>3</v>
      </c>
      <c r="L10" s="19" t="s">
        <v>4</v>
      </c>
      <c r="M10" s="19" t="s">
        <v>7</v>
      </c>
      <c r="N10" s="19" t="s">
        <v>26</v>
      </c>
      <c r="O10" s="19" t="s">
        <v>10</v>
      </c>
      <c r="P10" s="19" t="s">
        <v>16</v>
      </c>
      <c r="Q10" s="19" t="s">
        <v>17</v>
      </c>
      <c r="R10" s="19" t="s">
        <v>18</v>
      </c>
      <c r="S10" s="19" t="s">
        <v>19</v>
      </c>
      <c r="T10" s="5"/>
    </row>
    <row r="11" spans="1:20" s="11" customFormat="1" ht="63.75">
      <c r="A11" s="34">
        <v>1</v>
      </c>
      <c r="B11" s="35" t="s">
        <v>41</v>
      </c>
      <c r="C11" s="35" t="s">
        <v>44</v>
      </c>
      <c r="D11" s="39" t="s">
        <v>8</v>
      </c>
      <c r="E11" s="36" t="s">
        <v>20</v>
      </c>
      <c r="F11" s="36"/>
      <c r="G11" s="36" t="s">
        <v>45</v>
      </c>
      <c r="H11" s="36" t="s">
        <v>46</v>
      </c>
      <c r="I11" s="36"/>
      <c r="J11" s="36" t="s">
        <v>47</v>
      </c>
      <c r="K11" s="36" t="s">
        <v>48</v>
      </c>
      <c r="L11" s="36"/>
      <c r="M11" s="37"/>
      <c r="N11" s="37"/>
      <c r="O11" s="37"/>
      <c r="P11" s="35" t="s">
        <v>40</v>
      </c>
      <c r="Q11" s="38">
        <v>44689.584548611114</v>
      </c>
      <c r="R11" s="37"/>
      <c r="S11" s="38"/>
    </row>
    <row r="12" spans="1:20" s="11" customFormat="1" ht="216.75">
      <c r="A12" s="34">
        <v>2</v>
      </c>
      <c r="B12" s="35" t="s">
        <v>41</v>
      </c>
      <c r="C12" s="35" t="s">
        <v>49</v>
      </c>
      <c r="D12" s="39" t="s">
        <v>8</v>
      </c>
      <c r="E12" s="36" t="s">
        <v>20</v>
      </c>
      <c r="F12" s="36"/>
      <c r="G12" s="36" t="s">
        <v>50</v>
      </c>
      <c r="H12" s="36" t="s">
        <v>44</v>
      </c>
      <c r="I12" s="36"/>
      <c r="J12" s="36"/>
      <c r="K12" s="36" t="s">
        <v>117</v>
      </c>
      <c r="L12" s="36"/>
      <c r="M12" s="37"/>
      <c r="N12" s="37"/>
      <c r="O12" s="37"/>
      <c r="P12" s="35" t="s">
        <v>40</v>
      </c>
      <c r="Q12" s="38">
        <v>44689.603101851855</v>
      </c>
      <c r="R12" s="37"/>
      <c r="S12" s="38"/>
    </row>
    <row r="13" spans="1:20" s="11" customFormat="1" ht="38.25">
      <c r="A13" s="34">
        <v>3</v>
      </c>
      <c r="B13" s="35" t="s">
        <v>41</v>
      </c>
      <c r="C13" s="35" t="s">
        <v>51</v>
      </c>
      <c r="D13" s="39" t="s">
        <v>8</v>
      </c>
      <c r="E13" s="36" t="s">
        <v>20</v>
      </c>
      <c r="F13" s="36"/>
      <c r="G13" s="36" t="s">
        <v>52</v>
      </c>
      <c r="H13" s="36" t="s">
        <v>44</v>
      </c>
      <c r="I13" s="36"/>
      <c r="J13" s="36" t="s">
        <v>53</v>
      </c>
      <c r="K13" s="36" t="s">
        <v>54</v>
      </c>
      <c r="L13" s="36"/>
      <c r="M13" s="37"/>
      <c r="N13" s="37"/>
      <c r="O13" s="37"/>
      <c r="P13" s="35" t="s">
        <v>40</v>
      </c>
      <c r="Q13" s="38">
        <v>44689.610844907409</v>
      </c>
      <c r="R13" s="37"/>
      <c r="S13" s="38"/>
    </row>
    <row r="14" spans="1:20" ht="38.25">
      <c r="A14" s="34">
        <v>4</v>
      </c>
      <c r="B14" s="35" t="s">
        <v>41</v>
      </c>
      <c r="C14" s="35" t="s">
        <v>55</v>
      </c>
      <c r="D14" s="39" t="s">
        <v>8</v>
      </c>
      <c r="E14" s="36" t="s">
        <v>20</v>
      </c>
      <c r="F14" s="36"/>
      <c r="G14" s="36" t="s">
        <v>118</v>
      </c>
      <c r="H14" s="36" t="s">
        <v>44</v>
      </c>
      <c r="I14" s="36"/>
      <c r="J14" s="36"/>
      <c r="K14" s="36" t="s">
        <v>56</v>
      </c>
      <c r="L14" s="36"/>
      <c r="M14" s="37"/>
      <c r="N14" s="37"/>
      <c r="O14" s="37"/>
      <c r="P14" s="35" t="s">
        <v>40</v>
      </c>
      <c r="Q14" s="38">
        <v>44689.614212962966</v>
      </c>
      <c r="R14" s="37"/>
      <c r="S14" s="38"/>
    </row>
    <row r="15" spans="1:20" ht="38.25">
      <c r="A15" s="34">
        <v>5</v>
      </c>
      <c r="B15" s="35" t="s">
        <v>41</v>
      </c>
      <c r="C15" s="35" t="s">
        <v>58</v>
      </c>
      <c r="D15" s="39" t="s">
        <v>8</v>
      </c>
      <c r="E15" s="36" t="s">
        <v>20</v>
      </c>
      <c r="F15" s="36"/>
      <c r="G15" s="36" t="s">
        <v>119</v>
      </c>
      <c r="H15" s="36" t="s">
        <v>44</v>
      </c>
      <c r="I15" s="36"/>
      <c r="J15" s="36" t="s">
        <v>120</v>
      </c>
      <c r="K15" s="36" t="s">
        <v>57</v>
      </c>
      <c r="L15" s="36"/>
      <c r="M15" s="37"/>
      <c r="N15" s="37"/>
      <c r="O15" s="37"/>
      <c r="P15" s="35" t="s">
        <v>40</v>
      </c>
      <c r="Q15" s="38">
        <v>44689.617349537039</v>
      </c>
      <c r="R15" s="37"/>
      <c r="S15" s="38"/>
    </row>
    <row r="16" spans="1:20" ht="38.25">
      <c r="A16" s="34">
        <v>6</v>
      </c>
      <c r="B16" s="35" t="s">
        <v>41</v>
      </c>
      <c r="C16" s="35" t="s">
        <v>59</v>
      </c>
      <c r="D16" s="39" t="s">
        <v>8</v>
      </c>
      <c r="E16" s="36" t="s">
        <v>20</v>
      </c>
      <c r="F16" s="36"/>
      <c r="G16" s="36" t="s">
        <v>121</v>
      </c>
      <c r="H16" s="36" t="s">
        <v>44</v>
      </c>
      <c r="I16" s="36"/>
      <c r="J16" s="36" t="s">
        <v>122</v>
      </c>
      <c r="K16" s="36" t="s">
        <v>60</v>
      </c>
      <c r="L16" s="36"/>
      <c r="M16" s="37"/>
      <c r="N16" s="37"/>
      <c r="O16" s="37"/>
      <c r="P16" s="35" t="s">
        <v>40</v>
      </c>
      <c r="Q16" s="38">
        <v>44689.621249999997</v>
      </c>
      <c r="R16" s="37"/>
      <c r="S16" s="38"/>
    </row>
    <row r="17" spans="1:19" ht="102">
      <c r="A17" s="34">
        <v>7</v>
      </c>
      <c r="B17" s="35" t="s">
        <v>41</v>
      </c>
      <c r="C17" s="35" t="s">
        <v>61</v>
      </c>
      <c r="D17" s="39" t="s">
        <v>8</v>
      </c>
      <c r="E17" s="36" t="s">
        <v>20</v>
      </c>
      <c r="F17" s="36"/>
      <c r="G17" s="36" t="s">
        <v>123</v>
      </c>
      <c r="H17" s="36" t="s">
        <v>44</v>
      </c>
      <c r="I17" s="36" t="s">
        <v>134</v>
      </c>
      <c r="J17" s="36" t="s">
        <v>135</v>
      </c>
      <c r="K17" s="36" t="s">
        <v>124</v>
      </c>
      <c r="L17" s="36"/>
      <c r="M17" s="37"/>
      <c r="N17" s="37"/>
      <c r="O17" s="37"/>
      <c r="P17" s="35" t="s">
        <v>40</v>
      </c>
      <c r="Q17" s="38">
        <v>44689.627326388887</v>
      </c>
      <c r="R17" s="37"/>
      <c r="S17" s="38"/>
    </row>
    <row r="18" spans="1:19" ht="38.25">
      <c r="A18" s="34">
        <v>8</v>
      </c>
      <c r="B18" s="35" t="s">
        <v>41</v>
      </c>
      <c r="C18" s="35" t="s">
        <v>63</v>
      </c>
      <c r="D18" s="39" t="s">
        <v>8</v>
      </c>
      <c r="E18" s="36" t="s">
        <v>20</v>
      </c>
      <c r="F18" s="36"/>
      <c r="G18" s="36" t="s">
        <v>92</v>
      </c>
      <c r="H18" s="36" t="s">
        <v>44</v>
      </c>
      <c r="I18" s="36"/>
      <c r="J18" s="36"/>
      <c r="K18" s="36" t="s">
        <v>64</v>
      </c>
      <c r="L18" s="36"/>
      <c r="M18" s="37"/>
      <c r="N18" s="37"/>
      <c r="O18" s="37"/>
      <c r="P18" s="35" t="s">
        <v>40</v>
      </c>
      <c r="Q18" s="38">
        <v>44689.639328703706</v>
      </c>
      <c r="R18" s="37"/>
      <c r="S18" s="38"/>
    </row>
    <row r="19" spans="1:19" ht="51">
      <c r="A19" s="34">
        <v>9</v>
      </c>
      <c r="B19" s="35" t="s">
        <v>41</v>
      </c>
      <c r="C19" s="35" t="s">
        <v>65</v>
      </c>
      <c r="D19" s="39" t="s">
        <v>8</v>
      </c>
      <c r="E19" s="36" t="s">
        <v>20</v>
      </c>
      <c r="F19" s="36"/>
      <c r="G19" s="36" t="s">
        <v>93</v>
      </c>
      <c r="H19" s="36" t="s">
        <v>44</v>
      </c>
      <c r="I19" s="36"/>
      <c r="J19" s="36"/>
      <c r="K19" s="36" t="s">
        <v>66</v>
      </c>
      <c r="L19" s="36"/>
      <c r="M19" s="37"/>
      <c r="N19" s="37"/>
      <c r="O19" s="37"/>
      <c r="P19" s="35" t="s">
        <v>40</v>
      </c>
      <c r="Q19" s="38">
        <v>44689.641458333332</v>
      </c>
      <c r="R19" s="37"/>
      <c r="S19" s="38"/>
    </row>
    <row r="20" spans="1:19" ht="38.25">
      <c r="A20" s="34">
        <v>10</v>
      </c>
      <c r="B20" s="35" t="s">
        <v>41</v>
      </c>
      <c r="C20" s="35" t="s">
        <v>67</v>
      </c>
      <c r="D20" s="39" t="s">
        <v>8</v>
      </c>
      <c r="E20" s="36" t="s">
        <v>20</v>
      </c>
      <c r="F20" s="36"/>
      <c r="G20" s="36" t="s">
        <v>94</v>
      </c>
      <c r="H20" s="36" t="s">
        <v>44</v>
      </c>
      <c r="I20" s="36"/>
      <c r="J20" s="36"/>
      <c r="K20" s="36" t="s">
        <v>68</v>
      </c>
      <c r="L20" s="36"/>
      <c r="M20" s="37"/>
      <c r="N20" s="37"/>
      <c r="O20" s="37"/>
      <c r="P20" s="35" t="s">
        <v>40</v>
      </c>
      <c r="Q20" s="38">
        <v>44689.642731481479</v>
      </c>
      <c r="R20" s="37"/>
      <c r="S20" s="38"/>
    </row>
    <row r="21" spans="1:19" ht="38.25">
      <c r="A21" s="34">
        <v>11</v>
      </c>
      <c r="B21" s="35" t="s">
        <v>41</v>
      </c>
      <c r="C21" s="35" t="s">
        <v>69</v>
      </c>
      <c r="D21" s="39" t="s">
        <v>8</v>
      </c>
      <c r="E21" s="36" t="s">
        <v>20</v>
      </c>
      <c r="F21" s="36"/>
      <c r="G21" s="36" t="s">
        <v>95</v>
      </c>
      <c r="H21" s="36" t="s">
        <v>44</v>
      </c>
      <c r="I21" s="36"/>
      <c r="J21" s="36"/>
      <c r="K21" s="36" t="s">
        <v>70</v>
      </c>
      <c r="L21" s="36"/>
      <c r="M21" s="37"/>
      <c r="N21" s="37"/>
      <c r="O21" s="37"/>
      <c r="P21" s="35" t="s">
        <v>40</v>
      </c>
      <c r="Q21" s="38">
        <v>44689.644525462965</v>
      </c>
      <c r="R21" s="37"/>
      <c r="S21" s="38"/>
    </row>
    <row r="22" spans="1:19" ht="38.25" hidden="1">
      <c r="A22" s="34">
        <v>12</v>
      </c>
      <c r="B22" s="35" t="s">
        <v>41</v>
      </c>
      <c r="C22" s="35" t="s">
        <v>71</v>
      </c>
      <c r="D22" s="39" t="s">
        <v>11</v>
      </c>
      <c r="E22" s="36" t="s">
        <v>20</v>
      </c>
      <c r="F22" s="36"/>
      <c r="G22" s="36" t="s">
        <v>96</v>
      </c>
      <c r="H22" s="36" t="s">
        <v>44</v>
      </c>
      <c r="I22" s="36" t="s">
        <v>72</v>
      </c>
      <c r="J22" s="36" t="s">
        <v>97</v>
      </c>
      <c r="K22" s="36" t="s">
        <v>98</v>
      </c>
      <c r="L22" s="36"/>
      <c r="M22" s="37"/>
      <c r="N22" s="37"/>
      <c r="O22" s="37"/>
      <c r="P22" s="35" t="s">
        <v>40</v>
      </c>
      <c r="Q22" s="38">
        <v>44689.646284722221</v>
      </c>
      <c r="R22" s="37"/>
      <c r="S22" s="38"/>
    </row>
    <row r="23" spans="1:19" ht="63.75" hidden="1">
      <c r="A23" s="34">
        <v>13</v>
      </c>
      <c r="B23" s="35" t="s">
        <v>41</v>
      </c>
      <c r="C23" s="35" t="s">
        <v>73</v>
      </c>
      <c r="D23" s="39" t="s">
        <v>11</v>
      </c>
      <c r="E23" s="36" t="s">
        <v>20</v>
      </c>
      <c r="F23" s="36"/>
      <c r="G23" s="36" t="s">
        <v>99</v>
      </c>
      <c r="H23" s="36" t="s">
        <v>44</v>
      </c>
      <c r="I23" s="36" t="s">
        <v>74</v>
      </c>
      <c r="J23" s="36" t="s">
        <v>97</v>
      </c>
      <c r="K23" s="36" t="s">
        <v>75</v>
      </c>
      <c r="L23" s="36"/>
      <c r="M23" s="37"/>
      <c r="N23" s="37"/>
      <c r="O23" s="37"/>
      <c r="P23" s="35" t="s">
        <v>40</v>
      </c>
      <c r="Q23" s="38">
        <v>44689.650659722225</v>
      </c>
      <c r="R23" s="37"/>
      <c r="S23" s="38"/>
    </row>
    <row r="24" spans="1:19" ht="76.5" hidden="1">
      <c r="A24" s="34">
        <v>14</v>
      </c>
      <c r="B24" s="35" t="s">
        <v>41</v>
      </c>
      <c r="C24" s="35" t="s">
        <v>76</v>
      </c>
      <c r="D24" s="39" t="s">
        <v>11</v>
      </c>
      <c r="E24" s="36" t="s">
        <v>20</v>
      </c>
      <c r="F24" s="36"/>
      <c r="G24" s="36" t="s">
        <v>100</v>
      </c>
      <c r="H24" s="36" t="s">
        <v>44</v>
      </c>
      <c r="I24" s="36" t="s">
        <v>77</v>
      </c>
      <c r="J24" s="36" t="s">
        <v>97</v>
      </c>
      <c r="K24" s="36" t="s">
        <v>78</v>
      </c>
      <c r="L24" s="36"/>
      <c r="M24" s="37"/>
      <c r="N24" s="37"/>
      <c r="O24" s="37"/>
      <c r="P24" s="35" t="s">
        <v>40</v>
      </c>
      <c r="Q24" s="38">
        <v>44689.657349537039</v>
      </c>
      <c r="R24" s="37"/>
      <c r="S24" s="38"/>
    </row>
    <row r="25" spans="1:19" ht="76.5" hidden="1">
      <c r="A25" s="34">
        <v>15</v>
      </c>
      <c r="B25" s="35" t="s">
        <v>41</v>
      </c>
      <c r="C25" s="35" t="s">
        <v>79</v>
      </c>
      <c r="D25" s="39" t="s">
        <v>11</v>
      </c>
      <c r="E25" s="36" t="s">
        <v>20</v>
      </c>
      <c r="F25" s="36"/>
      <c r="G25" s="36" t="s">
        <v>101</v>
      </c>
      <c r="H25" s="36" t="s">
        <v>44</v>
      </c>
      <c r="I25" s="36" t="s">
        <v>80</v>
      </c>
      <c r="J25" s="36" t="s">
        <v>102</v>
      </c>
      <c r="K25" s="36" t="s">
        <v>103</v>
      </c>
      <c r="L25" s="36"/>
      <c r="M25" s="37"/>
      <c r="N25" s="37"/>
      <c r="O25" s="37"/>
      <c r="P25" s="35" t="s">
        <v>40</v>
      </c>
      <c r="Q25" s="38">
        <v>44689.661550925928</v>
      </c>
      <c r="R25" s="37"/>
      <c r="S25" s="38"/>
    </row>
    <row r="26" spans="1:19" ht="76.5" hidden="1">
      <c r="A26" s="34">
        <v>16</v>
      </c>
      <c r="B26" s="35" t="s">
        <v>41</v>
      </c>
      <c r="C26" s="35" t="s">
        <v>81</v>
      </c>
      <c r="D26" s="39" t="s">
        <v>11</v>
      </c>
      <c r="E26" s="36" t="s">
        <v>20</v>
      </c>
      <c r="F26" s="36"/>
      <c r="G26" s="36" t="s">
        <v>104</v>
      </c>
      <c r="H26" s="36" t="s">
        <v>44</v>
      </c>
      <c r="I26" s="36" t="s">
        <v>82</v>
      </c>
      <c r="J26" s="36" t="s">
        <v>105</v>
      </c>
      <c r="K26" s="36" t="s">
        <v>106</v>
      </c>
      <c r="L26" s="36"/>
      <c r="M26" s="37"/>
      <c r="N26" s="37"/>
      <c r="O26" s="37"/>
      <c r="P26" s="35" t="s">
        <v>40</v>
      </c>
      <c r="Q26" s="38">
        <v>44689.669178240743</v>
      </c>
      <c r="R26" s="37"/>
      <c r="S26" s="38"/>
    </row>
    <row r="27" spans="1:19" ht="76.5" hidden="1">
      <c r="A27" s="34">
        <v>17</v>
      </c>
      <c r="B27" s="35" t="s">
        <v>41</v>
      </c>
      <c r="C27" s="35" t="s">
        <v>83</v>
      </c>
      <c r="D27" s="39" t="s">
        <v>11</v>
      </c>
      <c r="E27" s="36" t="s">
        <v>20</v>
      </c>
      <c r="F27" s="36"/>
      <c r="G27" s="36" t="s">
        <v>107</v>
      </c>
      <c r="H27" s="36" t="s">
        <v>44</v>
      </c>
      <c r="I27" s="36" t="s">
        <v>84</v>
      </c>
      <c r="J27" s="36" t="s">
        <v>108</v>
      </c>
      <c r="K27" s="36" t="s">
        <v>109</v>
      </c>
      <c r="L27" s="36"/>
      <c r="M27" s="37"/>
      <c r="N27" s="37"/>
      <c r="O27" s="37"/>
      <c r="P27" s="35" t="s">
        <v>40</v>
      </c>
      <c r="Q27" s="38">
        <v>44689.670717592591</v>
      </c>
      <c r="R27" s="37"/>
      <c r="S27" s="38"/>
    </row>
    <row r="28" spans="1:19" ht="76.5" hidden="1">
      <c r="A28" s="34">
        <v>18</v>
      </c>
      <c r="B28" s="35" t="s">
        <v>41</v>
      </c>
      <c r="C28" s="35" t="s">
        <v>85</v>
      </c>
      <c r="D28" s="39" t="s">
        <v>11</v>
      </c>
      <c r="E28" s="36" t="s">
        <v>20</v>
      </c>
      <c r="F28" s="36"/>
      <c r="G28" s="36" t="s">
        <v>110</v>
      </c>
      <c r="H28" s="36" t="s">
        <v>44</v>
      </c>
      <c r="I28" s="36" t="s">
        <v>86</v>
      </c>
      <c r="J28" s="36" t="s">
        <v>111</v>
      </c>
      <c r="K28" s="36" t="s">
        <v>112</v>
      </c>
      <c r="L28" s="36"/>
      <c r="M28" s="37"/>
      <c r="N28" s="37"/>
      <c r="O28" s="37"/>
      <c r="P28" s="35" t="s">
        <v>40</v>
      </c>
      <c r="Q28" s="38">
        <v>44689.670717592591</v>
      </c>
      <c r="R28" s="37"/>
      <c r="S28" s="38"/>
    </row>
    <row r="29" spans="1:19" ht="102" hidden="1">
      <c r="A29" s="34">
        <v>19</v>
      </c>
      <c r="B29" s="35" t="s">
        <v>41</v>
      </c>
      <c r="C29" s="35" t="s">
        <v>87</v>
      </c>
      <c r="D29" s="39" t="s">
        <v>11</v>
      </c>
      <c r="E29" s="36" t="s">
        <v>20</v>
      </c>
      <c r="F29" s="36"/>
      <c r="G29" s="36" t="s">
        <v>113</v>
      </c>
      <c r="H29" s="36" t="s">
        <v>44</v>
      </c>
      <c r="I29" s="36" t="s">
        <v>62</v>
      </c>
      <c r="J29" s="36" t="s">
        <v>114</v>
      </c>
      <c r="K29" s="36" t="s">
        <v>88</v>
      </c>
      <c r="L29" s="36"/>
      <c r="M29" s="37"/>
      <c r="N29" s="37"/>
      <c r="O29" s="37"/>
      <c r="P29" s="35" t="s">
        <v>40</v>
      </c>
      <c r="Q29" s="38">
        <v>44689.673530092594</v>
      </c>
      <c r="R29" s="37"/>
      <c r="S29" s="38"/>
    </row>
    <row r="30" spans="1:19" ht="127.5" hidden="1">
      <c r="A30" s="34">
        <v>20</v>
      </c>
      <c r="B30" s="35" t="s">
        <v>41</v>
      </c>
      <c r="C30" s="35" t="s">
        <v>89</v>
      </c>
      <c r="D30" s="39" t="s">
        <v>11</v>
      </c>
      <c r="E30" s="36" t="s">
        <v>20</v>
      </c>
      <c r="F30" s="36"/>
      <c r="G30" s="36" t="s">
        <v>115</v>
      </c>
      <c r="H30" s="36" t="s">
        <v>44</v>
      </c>
      <c r="I30" s="36" t="s">
        <v>62</v>
      </c>
      <c r="J30" s="36" t="s">
        <v>126</v>
      </c>
      <c r="K30" s="36" t="s">
        <v>90</v>
      </c>
      <c r="L30" s="36"/>
      <c r="M30" s="37"/>
      <c r="N30" s="37"/>
      <c r="O30" s="37"/>
      <c r="P30" s="35" t="s">
        <v>40</v>
      </c>
      <c r="Q30" s="38">
        <v>44689.675752314812</v>
      </c>
      <c r="R30" s="37"/>
      <c r="S30" s="38"/>
    </row>
    <row r="31" spans="1:19" ht="140.25" hidden="1">
      <c r="A31" s="34">
        <v>21</v>
      </c>
      <c r="B31" s="35" t="s">
        <v>41</v>
      </c>
      <c r="C31" s="35" t="s">
        <v>125</v>
      </c>
      <c r="D31" s="39" t="s">
        <v>11</v>
      </c>
      <c r="E31" s="36" t="s">
        <v>20</v>
      </c>
      <c r="F31" s="36"/>
      <c r="G31" s="36" t="s">
        <v>127</v>
      </c>
      <c r="H31" s="36" t="s">
        <v>44</v>
      </c>
      <c r="I31" s="36" t="s">
        <v>62</v>
      </c>
      <c r="J31" s="36" t="s">
        <v>116</v>
      </c>
      <c r="K31" s="36" t="s">
        <v>128</v>
      </c>
      <c r="L31" s="36"/>
      <c r="M31" s="37"/>
      <c r="N31" s="37"/>
      <c r="O31" s="37"/>
      <c r="P31" s="35" t="s">
        <v>40</v>
      </c>
      <c r="Q31" s="38">
        <v>44689.689872685187</v>
      </c>
      <c r="R31" s="37"/>
      <c r="S31" s="38"/>
    </row>
    <row r="32" spans="1:19" ht="63.75" hidden="1">
      <c r="A32" s="34">
        <v>22</v>
      </c>
      <c r="B32" s="35" t="s">
        <v>41</v>
      </c>
      <c r="C32" s="35" t="s">
        <v>132</v>
      </c>
      <c r="D32" s="39" t="s">
        <v>11</v>
      </c>
      <c r="E32" s="36" t="s">
        <v>20</v>
      </c>
      <c r="F32" s="36"/>
      <c r="G32" s="36" t="s">
        <v>129</v>
      </c>
      <c r="H32" s="36" t="s">
        <v>44</v>
      </c>
      <c r="I32" s="36"/>
      <c r="J32" s="36" t="s">
        <v>130</v>
      </c>
      <c r="K32" s="36" t="s">
        <v>131</v>
      </c>
      <c r="L32" s="36"/>
      <c r="M32" s="37"/>
      <c r="N32" s="37"/>
      <c r="O32" s="37"/>
      <c r="P32" s="35" t="s">
        <v>40</v>
      </c>
      <c r="Q32" s="38">
        <v>44689.689872685187</v>
      </c>
      <c r="R32" s="37"/>
      <c r="S32" s="38"/>
    </row>
    <row r="33" spans="1:19" ht="89.25">
      <c r="A33" s="34">
        <v>23</v>
      </c>
      <c r="B33" s="35" t="s">
        <v>41</v>
      </c>
      <c r="C33" s="35" t="s">
        <v>133</v>
      </c>
      <c r="D33" s="39" t="s">
        <v>8</v>
      </c>
      <c r="E33" s="36" t="s">
        <v>20</v>
      </c>
      <c r="F33" s="36"/>
      <c r="G33" s="36" t="s">
        <v>137</v>
      </c>
      <c r="H33" s="36" t="s">
        <v>44</v>
      </c>
      <c r="I33" s="36" t="s">
        <v>62</v>
      </c>
      <c r="J33" s="36" t="s">
        <v>91</v>
      </c>
      <c r="K33" s="36" t="s">
        <v>124</v>
      </c>
      <c r="L33" s="36"/>
      <c r="M33" s="37"/>
      <c r="N33" s="37"/>
      <c r="O33" s="37"/>
      <c r="P33" s="35" t="s">
        <v>40</v>
      </c>
      <c r="Q33" s="38">
        <v>44689.699363425927</v>
      </c>
      <c r="R33" s="37"/>
      <c r="S33" s="38"/>
    </row>
    <row r="35" spans="1:19" ht="15">
      <c r="B35" s="17" t="s">
        <v>9</v>
      </c>
      <c r="C35" s="17" t="s">
        <v>22</v>
      </c>
      <c r="E35" s="13"/>
    </row>
    <row r="36" spans="1:19" ht="14.25">
      <c r="B36" s="30" t="str" cm="1">
        <f t="array" ref="B36:C39">Dashboard!H34:I37</f>
        <v>Passed</v>
      </c>
      <c r="C36" s="31">
        <v>0</v>
      </c>
      <c r="D36" s="13"/>
      <c r="E36" s="13"/>
    </row>
    <row r="37" spans="1:19" ht="14.25">
      <c r="B37" s="30" t="str">
        <v>Failed</v>
      </c>
      <c r="C37" s="31">
        <v>0</v>
      </c>
    </row>
    <row r="38" spans="1:19" ht="14.25">
      <c r="B38" s="30" t="str">
        <v>Not Executed</v>
      </c>
      <c r="C38" s="31">
        <v>0</v>
      </c>
    </row>
    <row r="39" spans="1:19" ht="14.25">
      <c r="B39" s="30" t="str">
        <v>Not Ready</v>
      </c>
      <c r="C39" s="31">
        <v>23</v>
      </c>
    </row>
    <row r="40" spans="1:19" ht="14.25">
      <c r="B40" s="32" t="s">
        <v>34</v>
      </c>
      <c r="C40" s="33">
        <f>SUM(C36:C39)</f>
        <v>23</v>
      </c>
    </row>
  </sheetData>
  <dataValidations count="5">
    <dataValidation type="list" allowBlank="1" showInputMessage="1" showErrorMessage="1" sqref="D11:D33" xr:uid="{00000000-0002-0000-0000-000001000000}">
      <formula1>typeTestList</formula1>
    </dataValidation>
    <dataValidation type="list" allowBlank="1" showInputMessage="1" showErrorMessage="1" sqref="B11:B33" xr:uid="{00000000-0002-0000-0000-000000000000}">
      <formula1>pageList</formula1>
    </dataValidation>
    <dataValidation type="list" allowBlank="1" showInputMessage="1" showErrorMessage="1" sqref="E11:E33" xr:uid="{AB3C7D48-6248-BF44-BC67-9601FA3FEF51}">
      <formula1>statusList</formula1>
    </dataValidation>
    <dataValidation type="list" allowBlank="1" showInputMessage="1" showErrorMessage="1" sqref="N11:N33" xr:uid="{B8EBAFA2-42E0-C149-B2F2-1BAED273F9DD}">
      <formula1>priorityList</formula1>
    </dataValidation>
    <dataValidation type="list" allowBlank="1" showInputMessage="1" showErrorMessage="1" sqref="O11:P33 R11:R33" xr:uid="{797079AC-8B14-9B4A-BC48-F63FF901A58C}">
      <formula1>picList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114300</xdr:colOff>
                    <xdr:row>7</xdr:row>
                    <xdr:rowOff>38100</xdr:rowOff>
                  </from>
                  <to>
                    <xdr:col>1</xdr:col>
                    <xdr:colOff>1266825</xdr:colOff>
                    <xdr:row>8</xdr:row>
                    <xdr:rowOff>142875</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1514475</xdr:colOff>
                    <xdr:row>7</xdr:row>
                    <xdr:rowOff>38100</xdr:rowOff>
                  </from>
                  <to>
                    <xdr:col>2</xdr:col>
                    <xdr:colOff>619125</xdr:colOff>
                    <xdr:row>8</xdr:row>
                    <xdr:rowOff>142875</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3" id="{9D6610C4-829E-40B1-9539-3F8D2270CBC0}">
            <xm:f>$E11=Dashboard!$H$35</xm:f>
            <x14:dxf>
              <font>
                <color rgb="FF9C0006"/>
              </font>
              <fill>
                <patternFill>
                  <bgColor rgb="FFFFC7CE"/>
                </patternFill>
              </fill>
            </x14:dxf>
          </x14:cfRule>
          <xm:sqref>A11:S33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AC49D-2140-4B4C-9126-38A24F4BED64}">
  <dimension ref="A7:T40"/>
  <sheetViews>
    <sheetView workbookViewId="0">
      <selection activeCell="E8" sqref="E8"/>
    </sheetView>
  </sheetViews>
  <sheetFormatPr defaultColWidth="9" defaultRowHeight="12.75"/>
  <cols>
    <col min="1" max="1" width="4" style="5" customWidth="1"/>
    <col min="2" max="2" width="30.875" style="5" customWidth="1"/>
    <col min="3" max="3" width="9.875" style="5" customWidth="1"/>
    <col min="4" max="4" width="9.5" style="5" bestFit="1" customWidth="1"/>
    <col min="5" max="5" width="11" style="5" customWidth="1"/>
    <col min="6" max="6" width="2.125" style="18" customWidth="1"/>
    <col min="7" max="12" width="35.625" style="5" customWidth="1"/>
    <col min="13" max="13" width="25.875" style="5" customWidth="1"/>
    <col min="14" max="14" width="16" style="5" customWidth="1"/>
    <col min="15" max="16" width="12.875" style="5" customWidth="1"/>
    <col min="17" max="17" width="16.875" style="5" customWidth="1"/>
    <col min="18" max="18" width="12.875" style="5" customWidth="1"/>
    <col min="19" max="19" width="16.875" style="5" customWidth="1"/>
    <col min="20" max="20" width="9" style="12"/>
    <col min="21" max="16384" width="9" style="5"/>
  </cols>
  <sheetData>
    <row r="7" spans="1:20">
      <c r="A7" s="22"/>
      <c r="B7" s="6"/>
      <c r="C7" s="20"/>
      <c r="D7" s="21"/>
      <c r="E7" s="6"/>
      <c r="F7" s="6"/>
      <c r="T7" s="5"/>
    </row>
    <row r="8" spans="1:20">
      <c r="A8" s="6"/>
      <c r="B8" s="9"/>
      <c r="F8" s="9"/>
      <c r="G8" s="10"/>
      <c r="H8" s="10"/>
      <c r="I8" s="10"/>
      <c r="J8" s="8"/>
      <c r="K8" s="6"/>
      <c r="L8" s="6"/>
      <c r="M8" s="6"/>
      <c r="N8" s="6"/>
      <c r="O8" s="6"/>
      <c r="P8" s="6"/>
      <c r="Q8" s="6"/>
      <c r="R8" s="6"/>
      <c r="S8" s="6"/>
      <c r="T8" s="5"/>
    </row>
    <row r="9" spans="1:20">
      <c r="A9" s="6"/>
      <c r="B9" s="6"/>
      <c r="F9" s="5"/>
      <c r="G9" s="7"/>
      <c r="H9" s="7"/>
      <c r="I9" s="7"/>
      <c r="J9" s="7"/>
      <c r="K9" s="6"/>
      <c r="L9" s="6"/>
      <c r="M9" s="6"/>
      <c r="N9" s="6"/>
      <c r="O9" s="6"/>
      <c r="P9" s="6"/>
      <c r="Q9" s="6"/>
      <c r="R9" s="6"/>
      <c r="S9" s="6"/>
      <c r="T9" s="5"/>
    </row>
    <row r="10" spans="1:20" ht="39" customHeight="1">
      <c r="A10" s="19" t="s">
        <v>0</v>
      </c>
      <c r="B10" s="19" t="s">
        <v>1</v>
      </c>
      <c r="C10" s="19" t="s">
        <v>21</v>
      </c>
      <c r="D10" s="19" t="s">
        <v>5</v>
      </c>
      <c r="E10" s="19" t="s">
        <v>6</v>
      </c>
      <c r="F10" s="19" t="s">
        <v>35</v>
      </c>
      <c r="G10" s="19" t="s">
        <v>14</v>
      </c>
      <c r="H10" s="19" t="s">
        <v>15</v>
      </c>
      <c r="I10" s="19" t="s">
        <v>36</v>
      </c>
      <c r="J10" s="19" t="s">
        <v>2</v>
      </c>
      <c r="K10" s="19" t="s">
        <v>3</v>
      </c>
      <c r="L10" s="19" t="s">
        <v>4</v>
      </c>
      <c r="M10" s="19" t="s">
        <v>7</v>
      </c>
      <c r="N10" s="19" t="s">
        <v>26</v>
      </c>
      <c r="O10" s="19" t="s">
        <v>10</v>
      </c>
      <c r="P10" s="19" t="s">
        <v>16</v>
      </c>
      <c r="Q10" s="19" t="s">
        <v>17</v>
      </c>
      <c r="R10" s="19" t="s">
        <v>18</v>
      </c>
      <c r="S10" s="19" t="s">
        <v>19</v>
      </c>
      <c r="T10" s="5"/>
    </row>
    <row r="11" spans="1:20" s="11" customFormat="1" ht="63.75" hidden="1">
      <c r="A11" s="34">
        <v>1</v>
      </c>
      <c r="B11" s="35" t="s">
        <v>41</v>
      </c>
      <c r="C11" s="35" t="s">
        <v>44</v>
      </c>
      <c r="D11" s="39" t="s">
        <v>8</v>
      </c>
      <c r="E11" s="36" t="s">
        <v>20</v>
      </c>
      <c r="F11" s="36"/>
      <c r="G11" s="36" t="s">
        <v>45</v>
      </c>
      <c r="H11" s="36" t="s">
        <v>46</v>
      </c>
      <c r="I11" s="36"/>
      <c r="J11" s="36" t="s">
        <v>47</v>
      </c>
      <c r="K11" s="36" t="s">
        <v>48</v>
      </c>
      <c r="L11" s="36"/>
      <c r="M11" s="37"/>
      <c r="N11" s="37"/>
      <c r="O11" s="37"/>
      <c r="P11" s="35" t="s">
        <v>40</v>
      </c>
      <c r="Q11" s="38">
        <v>44689.584548611114</v>
      </c>
      <c r="R11" s="37"/>
      <c r="S11" s="38"/>
    </row>
    <row r="12" spans="1:20" s="11" customFormat="1" ht="216.75" hidden="1">
      <c r="A12" s="34">
        <v>2</v>
      </c>
      <c r="B12" s="35" t="s">
        <v>41</v>
      </c>
      <c r="C12" s="35" t="s">
        <v>49</v>
      </c>
      <c r="D12" s="39" t="s">
        <v>8</v>
      </c>
      <c r="E12" s="36" t="s">
        <v>20</v>
      </c>
      <c r="F12" s="36"/>
      <c r="G12" s="36" t="s">
        <v>50</v>
      </c>
      <c r="H12" s="36" t="s">
        <v>44</v>
      </c>
      <c r="I12" s="36"/>
      <c r="J12" s="36"/>
      <c r="K12" s="36" t="s">
        <v>117</v>
      </c>
      <c r="L12" s="36"/>
      <c r="M12" s="37"/>
      <c r="N12" s="37"/>
      <c r="O12" s="37"/>
      <c r="P12" s="35" t="s">
        <v>40</v>
      </c>
      <c r="Q12" s="38">
        <v>44689.603101851855</v>
      </c>
      <c r="R12" s="37"/>
      <c r="S12" s="38"/>
    </row>
    <row r="13" spans="1:20" s="11" customFormat="1" ht="38.25" hidden="1">
      <c r="A13" s="34">
        <v>3</v>
      </c>
      <c r="B13" s="35" t="s">
        <v>41</v>
      </c>
      <c r="C13" s="35" t="s">
        <v>51</v>
      </c>
      <c r="D13" s="39" t="s">
        <v>8</v>
      </c>
      <c r="E13" s="36" t="s">
        <v>20</v>
      </c>
      <c r="F13" s="36"/>
      <c r="G13" s="36" t="s">
        <v>52</v>
      </c>
      <c r="H13" s="36" t="s">
        <v>44</v>
      </c>
      <c r="I13" s="36"/>
      <c r="J13" s="36" t="s">
        <v>53</v>
      </c>
      <c r="K13" s="36" t="s">
        <v>54</v>
      </c>
      <c r="L13" s="36"/>
      <c r="M13" s="37"/>
      <c r="N13" s="37"/>
      <c r="O13" s="37"/>
      <c r="P13" s="35" t="s">
        <v>40</v>
      </c>
      <c r="Q13" s="38">
        <v>44689.610844907409</v>
      </c>
      <c r="R13" s="37"/>
      <c r="S13" s="38"/>
    </row>
    <row r="14" spans="1:20" ht="38.25" hidden="1">
      <c r="A14" s="34">
        <v>4</v>
      </c>
      <c r="B14" s="35" t="s">
        <v>41</v>
      </c>
      <c r="C14" s="35" t="s">
        <v>55</v>
      </c>
      <c r="D14" s="39" t="s">
        <v>8</v>
      </c>
      <c r="E14" s="36" t="s">
        <v>20</v>
      </c>
      <c r="F14" s="36"/>
      <c r="G14" s="36" t="s">
        <v>118</v>
      </c>
      <c r="H14" s="36" t="s">
        <v>44</v>
      </c>
      <c r="I14" s="36"/>
      <c r="J14" s="36"/>
      <c r="K14" s="36" t="s">
        <v>56</v>
      </c>
      <c r="L14" s="36"/>
      <c r="M14" s="37"/>
      <c r="N14" s="37"/>
      <c r="O14" s="37"/>
      <c r="P14" s="35" t="s">
        <v>40</v>
      </c>
      <c r="Q14" s="38">
        <v>44689.614212962966</v>
      </c>
      <c r="R14" s="37"/>
      <c r="S14" s="38"/>
    </row>
    <row r="15" spans="1:20" ht="38.25" hidden="1">
      <c r="A15" s="34">
        <v>5</v>
      </c>
      <c r="B15" s="35" t="s">
        <v>41</v>
      </c>
      <c r="C15" s="35" t="s">
        <v>58</v>
      </c>
      <c r="D15" s="39" t="s">
        <v>8</v>
      </c>
      <c r="E15" s="36" t="s">
        <v>20</v>
      </c>
      <c r="F15" s="36"/>
      <c r="G15" s="36" t="s">
        <v>119</v>
      </c>
      <c r="H15" s="36" t="s">
        <v>44</v>
      </c>
      <c r="I15" s="36"/>
      <c r="J15" s="36" t="s">
        <v>120</v>
      </c>
      <c r="K15" s="36" t="s">
        <v>57</v>
      </c>
      <c r="L15" s="36"/>
      <c r="M15" s="37"/>
      <c r="N15" s="37"/>
      <c r="O15" s="37"/>
      <c r="P15" s="35" t="s">
        <v>40</v>
      </c>
      <c r="Q15" s="38">
        <v>44689.617349537039</v>
      </c>
      <c r="R15" s="37"/>
      <c r="S15" s="38"/>
    </row>
    <row r="16" spans="1:20" ht="38.25" hidden="1">
      <c r="A16" s="34">
        <v>6</v>
      </c>
      <c r="B16" s="35" t="s">
        <v>41</v>
      </c>
      <c r="C16" s="35" t="s">
        <v>59</v>
      </c>
      <c r="D16" s="39" t="s">
        <v>8</v>
      </c>
      <c r="E16" s="36" t="s">
        <v>20</v>
      </c>
      <c r="F16" s="36"/>
      <c r="G16" s="36" t="s">
        <v>121</v>
      </c>
      <c r="H16" s="36" t="s">
        <v>44</v>
      </c>
      <c r="I16" s="36"/>
      <c r="J16" s="36" t="s">
        <v>122</v>
      </c>
      <c r="K16" s="36" t="s">
        <v>60</v>
      </c>
      <c r="L16" s="36"/>
      <c r="M16" s="37"/>
      <c r="N16" s="37"/>
      <c r="O16" s="37"/>
      <c r="P16" s="35" t="s">
        <v>40</v>
      </c>
      <c r="Q16" s="38">
        <v>44689.621249999997</v>
      </c>
      <c r="R16" s="37"/>
      <c r="S16" s="38"/>
    </row>
    <row r="17" spans="1:19" ht="102" hidden="1">
      <c r="A17" s="34">
        <v>7</v>
      </c>
      <c r="B17" s="35" t="s">
        <v>41</v>
      </c>
      <c r="C17" s="35" t="s">
        <v>61</v>
      </c>
      <c r="D17" s="39" t="s">
        <v>8</v>
      </c>
      <c r="E17" s="36" t="s">
        <v>20</v>
      </c>
      <c r="F17" s="36"/>
      <c r="G17" s="36" t="s">
        <v>123</v>
      </c>
      <c r="H17" s="36" t="s">
        <v>44</v>
      </c>
      <c r="I17" s="36" t="s">
        <v>134</v>
      </c>
      <c r="J17" s="36" t="s">
        <v>135</v>
      </c>
      <c r="K17" s="36" t="s">
        <v>124</v>
      </c>
      <c r="L17" s="36"/>
      <c r="M17" s="37"/>
      <c r="N17" s="37"/>
      <c r="O17" s="37"/>
      <c r="P17" s="35" t="s">
        <v>40</v>
      </c>
      <c r="Q17" s="38">
        <v>44689.627326388887</v>
      </c>
      <c r="R17" s="37"/>
      <c r="S17" s="38"/>
    </row>
    <row r="18" spans="1:19" ht="38.25" hidden="1">
      <c r="A18" s="34">
        <v>8</v>
      </c>
      <c r="B18" s="35" t="s">
        <v>41</v>
      </c>
      <c r="C18" s="35" t="s">
        <v>63</v>
      </c>
      <c r="D18" s="39" t="s">
        <v>8</v>
      </c>
      <c r="E18" s="36" t="s">
        <v>20</v>
      </c>
      <c r="F18" s="36"/>
      <c r="G18" s="36" t="s">
        <v>92</v>
      </c>
      <c r="H18" s="36" t="s">
        <v>44</v>
      </c>
      <c r="I18" s="36"/>
      <c r="J18" s="36"/>
      <c r="K18" s="36" t="s">
        <v>64</v>
      </c>
      <c r="L18" s="36"/>
      <c r="M18" s="37"/>
      <c r="N18" s="37"/>
      <c r="O18" s="37"/>
      <c r="P18" s="35" t="s">
        <v>40</v>
      </c>
      <c r="Q18" s="38">
        <v>44689.639328703706</v>
      </c>
      <c r="R18" s="37"/>
      <c r="S18" s="38"/>
    </row>
    <row r="19" spans="1:19" ht="51" hidden="1">
      <c r="A19" s="34">
        <v>9</v>
      </c>
      <c r="B19" s="35" t="s">
        <v>41</v>
      </c>
      <c r="C19" s="35" t="s">
        <v>65</v>
      </c>
      <c r="D19" s="39" t="s">
        <v>8</v>
      </c>
      <c r="E19" s="36" t="s">
        <v>20</v>
      </c>
      <c r="F19" s="36"/>
      <c r="G19" s="36" t="s">
        <v>93</v>
      </c>
      <c r="H19" s="36" t="s">
        <v>44</v>
      </c>
      <c r="I19" s="36"/>
      <c r="J19" s="36"/>
      <c r="K19" s="36" t="s">
        <v>66</v>
      </c>
      <c r="L19" s="36"/>
      <c r="M19" s="37"/>
      <c r="N19" s="37"/>
      <c r="O19" s="37"/>
      <c r="P19" s="35" t="s">
        <v>40</v>
      </c>
      <c r="Q19" s="38">
        <v>44689.641458333332</v>
      </c>
      <c r="R19" s="37"/>
      <c r="S19" s="38"/>
    </row>
    <row r="20" spans="1:19" ht="38.25" hidden="1">
      <c r="A20" s="34">
        <v>10</v>
      </c>
      <c r="B20" s="35" t="s">
        <v>41</v>
      </c>
      <c r="C20" s="35" t="s">
        <v>67</v>
      </c>
      <c r="D20" s="39" t="s">
        <v>8</v>
      </c>
      <c r="E20" s="36" t="s">
        <v>20</v>
      </c>
      <c r="F20" s="36"/>
      <c r="G20" s="36" t="s">
        <v>94</v>
      </c>
      <c r="H20" s="36" t="s">
        <v>44</v>
      </c>
      <c r="I20" s="36"/>
      <c r="J20" s="36"/>
      <c r="K20" s="36" t="s">
        <v>68</v>
      </c>
      <c r="L20" s="36"/>
      <c r="M20" s="37"/>
      <c r="N20" s="37"/>
      <c r="O20" s="37"/>
      <c r="P20" s="35" t="s">
        <v>40</v>
      </c>
      <c r="Q20" s="38">
        <v>44689.642731481479</v>
      </c>
      <c r="R20" s="37"/>
      <c r="S20" s="38"/>
    </row>
    <row r="21" spans="1:19" ht="38.25" hidden="1">
      <c r="A21" s="34">
        <v>11</v>
      </c>
      <c r="B21" s="35" t="s">
        <v>41</v>
      </c>
      <c r="C21" s="35" t="s">
        <v>69</v>
      </c>
      <c r="D21" s="39" t="s">
        <v>8</v>
      </c>
      <c r="E21" s="36" t="s">
        <v>20</v>
      </c>
      <c r="F21" s="36"/>
      <c r="G21" s="36" t="s">
        <v>95</v>
      </c>
      <c r="H21" s="36" t="s">
        <v>44</v>
      </c>
      <c r="I21" s="36"/>
      <c r="J21" s="36"/>
      <c r="K21" s="36" t="s">
        <v>70</v>
      </c>
      <c r="L21" s="36"/>
      <c r="M21" s="37"/>
      <c r="N21" s="37"/>
      <c r="O21" s="37"/>
      <c r="P21" s="35" t="s">
        <v>40</v>
      </c>
      <c r="Q21" s="38">
        <v>44689.644525462965</v>
      </c>
      <c r="R21" s="37"/>
      <c r="S21" s="38"/>
    </row>
    <row r="22" spans="1:19" ht="38.25">
      <c r="A22" s="34">
        <v>12</v>
      </c>
      <c r="B22" s="35" t="s">
        <v>41</v>
      </c>
      <c r="C22" s="35" t="s">
        <v>71</v>
      </c>
      <c r="D22" s="39" t="s">
        <v>11</v>
      </c>
      <c r="E22" s="36" t="s">
        <v>20</v>
      </c>
      <c r="F22" s="36"/>
      <c r="G22" s="36" t="s">
        <v>96</v>
      </c>
      <c r="H22" s="36" t="s">
        <v>44</v>
      </c>
      <c r="I22" s="36" t="s">
        <v>72</v>
      </c>
      <c r="J22" s="36" t="s">
        <v>97</v>
      </c>
      <c r="K22" s="36" t="s">
        <v>98</v>
      </c>
      <c r="L22" s="36"/>
      <c r="M22" s="37"/>
      <c r="N22" s="37"/>
      <c r="O22" s="37"/>
      <c r="P22" s="35" t="s">
        <v>40</v>
      </c>
      <c r="Q22" s="38">
        <v>44689.646284722221</v>
      </c>
      <c r="R22" s="37"/>
      <c r="S22" s="38"/>
    </row>
    <row r="23" spans="1:19" ht="63.75">
      <c r="A23" s="34">
        <v>13</v>
      </c>
      <c r="B23" s="35" t="s">
        <v>41</v>
      </c>
      <c r="C23" s="35" t="s">
        <v>73</v>
      </c>
      <c r="D23" s="39" t="s">
        <v>11</v>
      </c>
      <c r="E23" s="36" t="s">
        <v>20</v>
      </c>
      <c r="F23" s="36"/>
      <c r="G23" s="36" t="s">
        <v>99</v>
      </c>
      <c r="H23" s="36" t="s">
        <v>44</v>
      </c>
      <c r="I23" s="36" t="s">
        <v>74</v>
      </c>
      <c r="J23" s="36" t="s">
        <v>97</v>
      </c>
      <c r="K23" s="36" t="s">
        <v>75</v>
      </c>
      <c r="L23" s="36"/>
      <c r="M23" s="37"/>
      <c r="N23" s="37"/>
      <c r="O23" s="37"/>
      <c r="P23" s="35" t="s">
        <v>40</v>
      </c>
      <c r="Q23" s="38">
        <v>44689.650659722225</v>
      </c>
      <c r="R23" s="37"/>
      <c r="S23" s="38"/>
    </row>
    <row r="24" spans="1:19" ht="76.5">
      <c r="A24" s="34">
        <v>14</v>
      </c>
      <c r="B24" s="35" t="s">
        <v>41</v>
      </c>
      <c r="C24" s="35" t="s">
        <v>76</v>
      </c>
      <c r="D24" s="39" t="s">
        <v>11</v>
      </c>
      <c r="E24" s="36" t="s">
        <v>20</v>
      </c>
      <c r="F24" s="36"/>
      <c r="G24" s="36" t="s">
        <v>100</v>
      </c>
      <c r="H24" s="36" t="s">
        <v>44</v>
      </c>
      <c r="I24" s="36" t="s">
        <v>77</v>
      </c>
      <c r="J24" s="36" t="s">
        <v>97</v>
      </c>
      <c r="K24" s="36" t="s">
        <v>78</v>
      </c>
      <c r="L24" s="36"/>
      <c r="M24" s="37"/>
      <c r="N24" s="37"/>
      <c r="O24" s="37"/>
      <c r="P24" s="35" t="s">
        <v>40</v>
      </c>
      <c r="Q24" s="38">
        <v>44689.657349537039</v>
      </c>
      <c r="R24" s="37"/>
      <c r="S24" s="38"/>
    </row>
    <row r="25" spans="1:19" ht="76.5">
      <c r="A25" s="34">
        <v>15</v>
      </c>
      <c r="B25" s="35" t="s">
        <v>41</v>
      </c>
      <c r="C25" s="35" t="s">
        <v>79</v>
      </c>
      <c r="D25" s="39" t="s">
        <v>11</v>
      </c>
      <c r="E25" s="36" t="s">
        <v>20</v>
      </c>
      <c r="F25" s="36"/>
      <c r="G25" s="36" t="s">
        <v>101</v>
      </c>
      <c r="H25" s="36" t="s">
        <v>44</v>
      </c>
      <c r="I25" s="36" t="s">
        <v>80</v>
      </c>
      <c r="J25" s="36" t="s">
        <v>102</v>
      </c>
      <c r="K25" s="36" t="s">
        <v>103</v>
      </c>
      <c r="L25" s="36"/>
      <c r="M25" s="37"/>
      <c r="N25" s="37"/>
      <c r="O25" s="37"/>
      <c r="P25" s="35" t="s">
        <v>40</v>
      </c>
      <c r="Q25" s="38">
        <v>44689.661550925928</v>
      </c>
      <c r="R25" s="37"/>
      <c r="S25" s="38"/>
    </row>
    <row r="26" spans="1:19" ht="76.5">
      <c r="A26" s="34">
        <v>16</v>
      </c>
      <c r="B26" s="35" t="s">
        <v>41</v>
      </c>
      <c r="C26" s="35" t="s">
        <v>81</v>
      </c>
      <c r="D26" s="39" t="s">
        <v>11</v>
      </c>
      <c r="E26" s="36" t="s">
        <v>20</v>
      </c>
      <c r="F26" s="36"/>
      <c r="G26" s="36" t="s">
        <v>104</v>
      </c>
      <c r="H26" s="36" t="s">
        <v>44</v>
      </c>
      <c r="I26" s="36" t="s">
        <v>82</v>
      </c>
      <c r="J26" s="36" t="s">
        <v>105</v>
      </c>
      <c r="K26" s="36" t="s">
        <v>106</v>
      </c>
      <c r="L26" s="36"/>
      <c r="M26" s="37"/>
      <c r="N26" s="37"/>
      <c r="O26" s="37"/>
      <c r="P26" s="35" t="s">
        <v>40</v>
      </c>
      <c r="Q26" s="38">
        <v>44689.669178240743</v>
      </c>
      <c r="R26" s="37"/>
      <c r="S26" s="38"/>
    </row>
    <row r="27" spans="1:19" ht="76.5">
      <c r="A27" s="34">
        <v>17</v>
      </c>
      <c r="B27" s="35" t="s">
        <v>41</v>
      </c>
      <c r="C27" s="35" t="s">
        <v>83</v>
      </c>
      <c r="D27" s="39" t="s">
        <v>11</v>
      </c>
      <c r="E27" s="36" t="s">
        <v>20</v>
      </c>
      <c r="F27" s="36"/>
      <c r="G27" s="36" t="s">
        <v>107</v>
      </c>
      <c r="H27" s="36" t="s">
        <v>44</v>
      </c>
      <c r="I27" s="36" t="s">
        <v>84</v>
      </c>
      <c r="J27" s="36" t="s">
        <v>108</v>
      </c>
      <c r="K27" s="36" t="s">
        <v>109</v>
      </c>
      <c r="L27" s="36"/>
      <c r="M27" s="37"/>
      <c r="N27" s="37"/>
      <c r="O27" s="37"/>
      <c r="P27" s="35" t="s">
        <v>40</v>
      </c>
      <c r="Q27" s="38">
        <v>44689.670717592591</v>
      </c>
      <c r="R27" s="37"/>
      <c r="S27" s="38"/>
    </row>
    <row r="28" spans="1:19" ht="76.5">
      <c r="A28" s="34">
        <v>18</v>
      </c>
      <c r="B28" s="35" t="s">
        <v>41</v>
      </c>
      <c r="C28" s="35" t="s">
        <v>85</v>
      </c>
      <c r="D28" s="39" t="s">
        <v>11</v>
      </c>
      <c r="E28" s="36" t="s">
        <v>20</v>
      </c>
      <c r="F28" s="36"/>
      <c r="G28" s="36" t="s">
        <v>110</v>
      </c>
      <c r="H28" s="36" t="s">
        <v>44</v>
      </c>
      <c r="I28" s="36" t="s">
        <v>86</v>
      </c>
      <c r="J28" s="36" t="s">
        <v>111</v>
      </c>
      <c r="K28" s="36" t="s">
        <v>112</v>
      </c>
      <c r="L28" s="36"/>
      <c r="M28" s="37"/>
      <c r="N28" s="37"/>
      <c r="O28" s="37"/>
      <c r="P28" s="35" t="s">
        <v>40</v>
      </c>
      <c r="Q28" s="38">
        <v>44689.670717592591</v>
      </c>
      <c r="R28" s="37"/>
      <c r="S28" s="38"/>
    </row>
    <row r="29" spans="1:19" ht="102">
      <c r="A29" s="34">
        <v>19</v>
      </c>
      <c r="B29" s="35" t="s">
        <v>41</v>
      </c>
      <c r="C29" s="35" t="s">
        <v>87</v>
      </c>
      <c r="D29" s="39" t="s">
        <v>11</v>
      </c>
      <c r="E29" s="36" t="s">
        <v>20</v>
      </c>
      <c r="F29" s="36"/>
      <c r="G29" s="36" t="s">
        <v>113</v>
      </c>
      <c r="H29" s="36" t="s">
        <v>44</v>
      </c>
      <c r="I29" s="36" t="s">
        <v>62</v>
      </c>
      <c r="J29" s="36" t="s">
        <v>114</v>
      </c>
      <c r="K29" s="36" t="s">
        <v>88</v>
      </c>
      <c r="L29" s="36"/>
      <c r="M29" s="37"/>
      <c r="N29" s="37"/>
      <c r="O29" s="37"/>
      <c r="P29" s="35" t="s">
        <v>40</v>
      </c>
      <c r="Q29" s="38">
        <v>44689.673530092594</v>
      </c>
      <c r="R29" s="37"/>
      <c r="S29" s="38"/>
    </row>
    <row r="30" spans="1:19" ht="127.5">
      <c r="A30" s="34">
        <v>20</v>
      </c>
      <c r="B30" s="35" t="s">
        <v>41</v>
      </c>
      <c r="C30" s="35" t="s">
        <v>89</v>
      </c>
      <c r="D30" s="39" t="s">
        <v>11</v>
      </c>
      <c r="E30" s="36" t="s">
        <v>20</v>
      </c>
      <c r="F30" s="36"/>
      <c r="G30" s="36" t="s">
        <v>115</v>
      </c>
      <c r="H30" s="36" t="s">
        <v>44</v>
      </c>
      <c r="I30" s="36" t="s">
        <v>62</v>
      </c>
      <c r="J30" s="36" t="s">
        <v>126</v>
      </c>
      <c r="K30" s="36" t="s">
        <v>90</v>
      </c>
      <c r="L30" s="36"/>
      <c r="M30" s="37"/>
      <c r="N30" s="37"/>
      <c r="O30" s="37"/>
      <c r="P30" s="35" t="s">
        <v>40</v>
      </c>
      <c r="Q30" s="38">
        <v>44689.675752314812</v>
      </c>
      <c r="R30" s="37"/>
      <c r="S30" s="38"/>
    </row>
    <row r="31" spans="1:19" ht="140.25">
      <c r="A31" s="34">
        <v>21</v>
      </c>
      <c r="B31" s="35" t="s">
        <v>41</v>
      </c>
      <c r="C31" s="35" t="s">
        <v>125</v>
      </c>
      <c r="D31" s="39" t="s">
        <v>11</v>
      </c>
      <c r="E31" s="36" t="s">
        <v>20</v>
      </c>
      <c r="F31" s="36"/>
      <c r="G31" s="36" t="s">
        <v>127</v>
      </c>
      <c r="H31" s="36" t="s">
        <v>44</v>
      </c>
      <c r="I31" s="36" t="s">
        <v>62</v>
      </c>
      <c r="J31" s="36" t="s">
        <v>116</v>
      </c>
      <c r="K31" s="36" t="s">
        <v>128</v>
      </c>
      <c r="L31" s="36"/>
      <c r="M31" s="37"/>
      <c r="N31" s="37"/>
      <c r="O31" s="37"/>
      <c r="P31" s="35" t="s">
        <v>40</v>
      </c>
      <c r="Q31" s="38">
        <v>44689.689872685187</v>
      </c>
      <c r="R31" s="37"/>
      <c r="S31" s="38"/>
    </row>
    <row r="32" spans="1:19" ht="63.75">
      <c r="A32" s="34">
        <v>22</v>
      </c>
      <c r="B32" s="35" t="s">
        <v>41</v>
      </c>
      <c r="C32" s="35" t="s">
        <v>132</v>
      </c>
      <c r="D32" s="39" t="s">
        <v>11</v>
      </c>
      <c r="E32" s="36" t="s">
        <v>20</v>
      </c>
      <c r="F32" s="36"/>
      <c r="G32" s="36" t="s">
        <v>129</v>
      </c>
      <c r="H32" s="36" t="s">
        <v>44</v>
      </c>
      <c r="I32" s="36"/>
      <c r="J32" s="36" t="s">
        <v>130</v>
      </c>
      <c r="K32" s="36" t="s">
        <v>131</v>
      </c>
      <c r="L32" s="36"/>
      <c r="M32" s="37"/>
      <c r="N32" s="37"/>
      <c r="O32" s="37"/>
      <c r="P32" s="35" t="s">
        <v>40</v>
      </c>
      <c r="Q32" s="38">
        <v>44689.689872685187</v>
      </c>
      <c r="R32" s="37"/>
      <c r="S32" s="38"/>
    </row>
    <row r="33" spans="1:19" ht="89.25" hidden="1">
      <c r="A33" s="34">
        <v>23</v>
      </c>
      <c r="B33" s="35" t="s">
        <v>41</v>
      </c>
      <c r="C33" s="35" t="s">
        <v>133</v>
      </c>
      <c r="D33" s="39" t="s">
        <v>8</v>
      </c>
      <c r="E33" s="36" t="s">
        <v>20</v>
      </c>
      <c r="F33" s="36"/>
      <c r="G33" s="36" t="s">
        <v>136</v>
      </c>
      <c r="H33" s="36" t="s">
        <v>44</v>
      </c>
      <c r="I33" s="36" t="s">
        <v>62</v>
      </c>
      <c r="J33" s="36" t="s">
        <v>91</v>
      </c>
      <c r="K33" s="36" t="s">
        <v>124</v>
      </c>
      <c r="L33" s="36"/>
      <c r="M33" s="37"/>
      <c r="N33" s="37"/>
      <c r="O33" s="37"/>
      <c r="P33" s="35" t="s">
        <v>40</v>
      </c>
      <c r="Q33" s="38">
        <v>44689.699363425927</v>
      </c>
      <c r="R33" s="37"/>
      <c r="S33" s="38"/>
    </row>
    <row r="35" spans="1:19" ht="15">
      <c r="B35" s="17" t="s">
        <v>9</v>
      </c>
      <c r="C35" s="17" t="s">
        <v>22</v>
      </c>
      <c r="E35" s="13"/>
    </row>
    <row r="36" spans="1:19" ht="14.25">
      <c r="B36" s="30" t="str" cm="1">
        <f t="array" ref="B36:C39">Dashboard!H34:I37</f>
        <v>Passed</v>
      </c>
      <c r="C36" s="31">
        <v>0</v>
      </c>
      <c r="D36" s="13"/>
      <c r="E36" s="13"/>
    </row>
    <row r="37" spans="1:19" ht="14.25">
      <c r="B37" s="30" t="str">
        <v>Failed</v>
      </c>
      <c r="C37" s="31">
        <v>0</v>
      </c>
    </row>
    <row r="38" spans="1:19" ht="14.25">
      <c r="B38" s="30" t="str">
        <v>Not Executed</v>
      </c>
      <c r="C38" s="31">
        <v>0</v>
      </c>
    </row>
    <row r="39" spans="1:19" ht="14.25">
      <c r="B39" s="30" t="str">
        <v>Not Ready</v>
      </c>
      <c r="C39" s="31">
        <v>23</v>
      </c>
    </row>
    <row r="40" spans="1:19" ht="14.25">
      <c r="B40" s="32" t="s">
        <v>34</v>
      </c>
      <c r="C40" s="33">
        <f>SUM(C36:C39)</f>
        <v>23</v>
      </c>
    </row>
  </sheetData>
  <dataValidations count="5">
    <dataValidation type="list" allowBlank="1" showInputMessage="1" showErrorMessage="1" sqref="O11:P33 R11:R33" xr:uid="{04136653-1472-4C6B-8167-489AB7C99505}">
      <formula1>picList</formula1>
    </dataValidation>
    <dataValidation type="list" allowBlank="1" showInputMessage="1" showErrorMessage="1" sqref="N11:N33" xr:uid="{97B300D8-5D82-4055-BB75-7065A1AAFA7D}">
      <formula1>priorityList</formula1>
    </dataValidation>
    <dataValidation type="list" allowBlank="1" showInputMessage="1" showErrorMessage="1" sqref="E11:E33" xr:uid="{8C391F87-FC8A-4048-AE38-72F0C1547EAE}">
      <formula1>statusList</formula1>
    </dataValidation>
    <dataValidation type="list" allowBlank="1" showInputMessage="1" showErrorMessage="1" sqref="B11:B33" xr:uid="{9156ED05-9686-4BF3-86D6-AB9575197805}">
      <formula1>pageList</formula1>
    </dataValidation>
    <dataValidation type="list" allowBlank="1" showInputMessage="1" showErrorMessage="1" sqref="D11:D33" xr:uid="{6BD045E0-8030-463A-904D-59BE259593E3}">
      <formula1>typeTestList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4" r:id="rId3" name="Button 4">
              <controlPr defaultSize="0" print="0" autoFill="0" autoPict="0" macro="[0]!ButtonAddTestCase_Click">
                <anchor moveWithCells="1" sizeWithCells="1">
                  <from>
                    <xdr:col>0</xdr:col>
                    <xdr:colOff>114300</xdr:colOff>
                    <xdr:row>7</xdr:row>
                    <xdr:rowOff>38100</xdr:rowOff>
                  </from>
                  <to>
                    <xdr:col>1</xdr:col>
                    <xdr:colOff>1266825</xdr:colOff>
                    <xdr:row>8</xdr:row>
                    <xdr:rowOff>142875</xdr:rowOff>
                  </to>
                </anchor>
              </controlPr>
            </control>
          </mc:Choice>
        </mc:AlternateContent>
        <mc:AlternateContent xmlns:mc="http://schemas.openxmlformats.org/markup-compatibility/2006">
          <mc:Choice Requires="x14">
            <control shapeId="5125" r:id="rId4" name="Button 5">
              <controlPr defaultSize="0" print="0" autoFill="0" autoPict="0" macro="[0]!ButtonDeleteTestCase_Click">
                <anchor moveWithCells="1" sizeWithCells="1">
                  <from>
                    <xdr:col>1</xdr:col>
                    <xdr:colOff>1514475</xdr:colOff>
                    <xdr:row>7</xdr:row>
                    <xdr:rowOff>38100</xdr:rowOff>
                  </from>
                  <to>
                    <xdr:col>2</xdr:col>
                    <xdr:colOff>619125</xdr:colOff>
                    <xdr:row>8</xdr:row>
                    <xdr:rowOff>142875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1" id="{E169466F-93EA-4921-ADF3-DF8666E386BE}">
            <xm:f>$E11=Dashboard!$H$35</xm:f>
            <x14:dxf>
              <font>
                <color rgb="FF9C0006"/>
              </font>
              <fill>
                <patternFill>
                  <bgColor rgb="FFFFC7CE"/>
                </patternFill>
              </fill>
            </x14:dxf>
          </x14:cfRule>
          <xm:sqref>A11:S33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875" defaultRowHeight="15.75"/>
  <cols>
    <col min="1" max="1" width="57.875" customWidth="1"/>
  </cols>
  <sheetData>
    <row r="1" spans="1:1">
      <c r="A1" s="2" t="s">
        <v>12</v>
      </c>
    </row>
    <row r="2" spans="1:1" ht="267.75">
      <c r="A2" s="1" t="s">
        <v>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Dashboard</vt:lpstr>
      <vt:lpstr>Positive</vt:lpstr>
      <vt:lpstr>Negative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Muhammad Yasin</cp:lastModifiedBy>
  <cp:revision/>
  <dcterms:created xsi:type="dcterms:W3CDTF">2021-09-10T01:15:16Z</dcterms:created>
  <dcterms:modified xsi:type="dcterms:W3CDTF">2022-05-08T09:30:02Z</dcterms:modified>
  <cp:category/>
  <cp:contentStatus/>
</cp:coreProperties>
</file>