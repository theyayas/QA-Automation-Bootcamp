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atch288\xa-batch-288-qa-teknologi\003. Yasin\001. Template Test Case\"/>
    </mc:Choice>
  </mc:AlternateContent>
  <xr:revisionPtr revIDLastSave="0" documentId="13_ncr:1_{E6D832C7-D2F2-46F0-A914-288E88041CA7}" xr6:coauthVersionLast="47" xr6:coauthVersionMax="47" xr10:uidLastSave="{00000000-0000-0000-0000-000000000000}"/>
  <bookViews>
    <workbookView xWindow="0" yWindow="0" windowWidth="20490" windowHeight="11070" activeTab="1" xr2:uid="{00000000-000D-0000-FFFF-FFFF00000000}"/>
  </bookViews>
  <sheets>
    <sheet name="Dashboard" sheetId="12" r:id="rId1"/>
    <sheet name="Test Case" sheetId="9" r:id="rId2"/>
    <sheet name="MACRO" sheetId="11" state="hidden" r:id="rId3"/>
  </sheets>
  <definedNames>
    <definedName name="_xlnm._FilterDatabase" localSheetId="1" hidden="1">'Test Case'!$A$10:$S$10</definedName>
    <definedName name="cityList">#REF!</definedName>
    <definedName name="list_test_case">'Test Case'!$A$11:$S$11</definedName>
    <definedName name="pageList">TablePage[PAGE]</definedName>
    <definedName name="picList">TablePic[PIC]</definedName>
    <definedName name="priorityList">TablePriority[[PRIORITY ]]</definedName>
    <definedName name="statusList">TableStatus[STATUS]</definedName>
    <definedName name="statusListPivot">Dashboard!#REF!</definedName>
    <definedName name="typeTestList">TableTestType[TYPE TEST]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4" i="12" l="1"/>
  <c r="Q35" i="12"/>
  <c r="Q36" i="12"/>
  <c r="P34" i="12"/>
  <c r="P35" i="12"/>
  <c r="P36" i="12"/>
  <c r="C34" i="12" l="1"/>
  <c r="C35" i="12"/>
  <c r="C36" i="12"/>
  <c r="C37" i="12"/>
  <c r="C38" i="12"/>
  <c r="C39" i="12"/>
  <c r="C40" i="12"/>
  <c r="O34" i="12"/>
  <c r="O35" i="12"/>
  <c r="O36" i="12"/>
  <c r="L34" i="12"/>
  <c r="L35" i="12"/>
  <c r="L36" i="12"/>
  <c r="L37" i="12"/>
  <c r="I35" i="12"/>
  <c r="I36" i="12"/>
  <c r="I37" i="12"/>
  <c r="I34" i="12"/>
  <c r="F34" i="12"/>
  <c r="F35" i="12"/>
  <c r="B14" i="9" l="1" a="1"/>
  <c r="B14" i="9" l="1"/>
  <c r="C18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Ade Aditya</author>
  </authors>
  <commentList>
    <comment ref="O10" authorId="0" shapeId="0" xr:uid="{8082CA05-A8C7-074A-A9D5-3ABC8879D8E9}">
      <text>
        <r>
          <rPr>
            <b/>
            <sz val="10"/>
            <color rgb="FF000000"/>
            <rFont val="Tahoma"/>
            <family val="2"/>
          </rPr>
          <t>Ade Aditya: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PIC adalah programmer yang di assign terhadap fungsi tersebut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<sst xmlns="http://schemas.openxmlformats.org/spreadsheetml/2006/main" count="58" uniqueCount="51">
  <si>
    <t>NO.</t>
  </si>
  <si>
    <t>FUNGTION</t>
  </si>
  <si>
    <t>TEST STEPS</t>
  </si>
  <si>
    <t>EXPECTED RESULT</t>
  </si>
  <si>
    <t>ACTUAL RESULT</t>
  </si>
  <si>
    <t>TEST TYPE</t>
  </si>
  <si>
    <t>STATUS</t>
  </si>
  <si>
    <t>NOTES</t>
  </si>
  <si>
    <t>Positive</t>
  </si>
  <si>
    <t>Adit</t>
  </si>
  <si>
    <t>Vina</t>
  </si>
  <si>
    <t>Status</t>
  </si>
  <si>
    <t>PIC</t>
  </si>
  <si>
    <t>Negative</t>
  </si>
  <si>
    <t>1.1. Get - List Users</t>
  </si>
  <si>
    <t>1.2. Get - Single User</t>
  </si>
  <si>
    <t>1.3. Get - Single User Not Found</t>
  </si>
  <si>
    <t>1.4. Get - List &lt;Resource&gt;</t>
  </si>
  <si>
    <t>1.5. Get - Single &lt;Resource&gt;</t>
  </si>
  <si>
    <t>1.6. Get - Single &lt;Resource&lt; Not Found</t>
  </si>
  <si>
    <t>1.7. Post - Create</t>
  </si>
  <si>
    <t>botton Add Test Case</t>
  </si>
  <si>
    <t>Sub ButtonAddTestCase_Click()
Dim ws As Worksheet
Set ws = ActiveSheet
Dim tbl As ListObject
Set tbl = ws.ListObjects("Table_test_case")
Dim newrow As ListRow
Set newrow = tbl.ListRows.Add
With newrow
    .Range(1) = tbl.ListRows.Count
    .Range(5) = "Not Exec."
    .Range(14) = Date
End With
End Sub</t>
  </si>
  <si>
    <t>DESCRIPTION</t>
  </si>
  <si>
    <t>PREREQUISITES</t>
  </si>
  <si>
    <t>CREATED
BY</t>
  </si>
  <si>
    <t>CREATED
ON</t>
  </si>
  <si>
    <t>EXECUTED
BY</t>
  </si>
  <si>
    <t>EXECUTED
ON</t>
  </si>
  <si>
    <t>Zaky</t>
  </si>
  <si>
    <t>Not Ready</t>
  </si>
  <si>
    <t>TEST
CASE
ID</t>
  </si>
  <si>
    <t>Total</t>
  </si>
  <si>
    <t>Passed</t>
  </si>
  <si>
    <t>Failed</t>
  </si>
  <si>
    <t>Not Executed</t>
  </si>
  <si>
    <t>PRIORITY</t>
  </si>
  <si>
    <t xml:space="preserve">PRIORITY </t>
  </si>
  <si>
    <t>Urgent</t>
  </si>
  <si>
    <t>High</t>
  </si>
  <si>
    <t>Medium</t>
  </si>
  <si>
    <t>Low</t>
  </si>
  <si>
    <t>TYPE TEST</t>
  </si>
  <si>
    <t>PAGE</t>
  </si>
  <si>
    <t>TOTAL</t>
  </si>
  <si>
    <t xml:space="preserve"> </t>
  </si>
  <si>
    <t>TEST DATA</t>
  </si>
  <si>
    <t>TOTAL
(Programmer)</t>
  </si>
  <si>
    <t>TOTAL
(Created)</t>
  </si>
  <si>
    <t>TOTAL
(Executor)</t>
  </si>
  <si>
    <t>Yasin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</si>
</sst>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dd\-mmm\-yyyy\ hh\:mm"/>
    <numFmt numFmtId="166" formatCode="dd\ mmm\ yy"/>
  </numFmts>
  <fonts count="20">
    <font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3"/>
      <color theme="3"/>
      <name val="ArialMT"/>
      <family val="2"/>
    </font>
    <font>
      <b/>
      <sz val="11"/>
      <color theme="3"/>
      <name val="ArialMT"/>
      <family val="2"/>
    </font>
    <font>
      <sz val="12"/>
      <color theme="1"/>
      <name val="Arial"/>
      <family val="2"/>
    </font>
    <font>
      <sz val="10"/>
      <color theme="2" tint="-0.89999084444715716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2"/>
      <color theme="8" tint="0.79998168889431442"/>
      <name val="Arial"/>
      <family val="2"/>
    </font>
    <font>
      <b/>
      <sz val="15"/>
      <color theme="3"/>
      <name val="ArialMT"/>
      <family val="2"/>
    </font>
    <font>
      <b/>
      <sz val="11"/>
      <color theme="0"/>
      <name val="ArialMT"/>
      <family val="2"/>
    </font>
    <font>
      <sz val="10"/>
      <color theme="1"/>
      <name val="ArialMT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sz val="11"/>
      <color rgb="FF375623"/>
      <name val="ArialMT"/>
    </font>
    <font>
      <sz val="11"/>
      <color rgb="FF003300"/>
      <name val="Arial"/>
      <family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theme="8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indexed="64"/>
      </top>
      <bottom style="thin">
        <color theme="8" tint="0.39997558519241921"/>
      </bottom>
      <diagonal/>
    </border>
  </borders>
  <cellStyleXfs count="4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12" fillId="0" borderId="4" applyNumberFormat="0" applyFill="0" applyAlignment="0" applyProtection="0"/>
  </cellStyleXfs>
  <cellXfs count="4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0" xfId="0" applyNumberFormat="1" applyFont="1"/>
    <xf numFmtId="0" fontId="7" fillId="0" borderId="0" xfId="0" applyFont="1"/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14" fontId="8" fillId="0" borderId="0" xfId="0" applyNumberFormat="1" applyFont="1" applyAlignment="1">
      <alignment vertical="top" wrapText="1"/>
    </xf>
    <xf numFmtId="0" fontId="8" fillId="0" borderId="0" xfId="0" applyFont="1" applyAlignment="1">
      <alignment horizontal="center" vertical="top" wrapText="1"/>
    </xf>
    <xf numFmtId="14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top"/>
    </xf>
    <xf numFmtId="0" fontId="9" fillId="0" borderId="0" xfId="0" applyFont="1"/>
    <xf numFmtId="0" fontId="10" fillId="0" borderId="0" xfId="0" applyFont="1"/>
    <xf numFmtId="0" fontId="11" fillId="2" borderId="0" xfId="0" applyFont="1" applyFill="1"/>
    <xf numFmtId="0" fontId="11" fillId="0" borderId="0" xfId="0" applyFont="1" applyFill="1"/>
    <xf numFmtId="0" fontId="5" fillId="0" borderId="0" xfId="0" applyFont="1" applyFill="1"/>
    <xf numFmtId="0" fontId="13" fillId="3" borderId="5" xfId="0" applyFont="1" applyFill="1" applyBorder="1" applyAlignment="1">
      <alignment horizontal="center" vertical="center" wrapText="1"/>
    </xf>
    <xf numFmtId="0" fontId="7" fillId="0" borderId="0" xfId="0" applyFont="1" applyFill="1"/>
    <xf numFmtId="0" fontId="14" fillId="0" borderId="0" xfId="0" applyFont="1" applyAlignment="1">
      <alignment horizontal="center" vertical="center" wrapText="1"/>
    </xf>
    <xf numFmtId="0" fontId="8" fillId="0" borderId="0" xfId="2" applyFont="1" applyFill="1" applyBorder="1" applyAlignment="1">
      <alignment horizontal="left" vertical="top"/>
    </xf>
    <xf numFmtId="166" fontId="8" fillId="0" borderId="0" xfId="2" applyNumberFormat="1" applyFont="1" applyFill="1" applyBorder="1" applyAlignment="1">
      <alignment horizontal="left" vertical="top"/>
    </xf>
    <xf numFmtId="0" fontId="8" fillId="0" borderId="0" xfId="3" applyFont="1" applyFill="1" applyBorder="1" applyAlignment="1">
      <alignment horizontal="left" vertical="top"/>
    </xf>
    <xf numFmtId="0" fontId="16" fillId="0" borderId="0" xfId="0" applyFont="1"/>
    <xf numFmtId="0" fontId="16" fillId="0" borderId="0" xfId="0" applyNumberFormat="1" applyFont="1"/>
    <xf numFmtId="0" fontId="19" fillId="0" borderId="1" xfId="1" applyFont="1" applyAlignment="1">
      <alignment horizontal="center" vertical="center"/>
    </xf>
    <xf numFmtId="0" fontId="19" fillId="0" borderId="1" xfId="1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9" fillId="0" borderId="1" xfId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15" fillId="0" borderId="3" xfId="0" applyFont="1" applyBorder="1"/>
    <xf numFmtId="0" fontId="15" fillId="0" borderId="3" xfId="0" applyFont="1" applyBorder="1" applyAlignment="1">
      <alignment horizontal="center"/>
    </xf>
    <xf numFmtId="0" fontId="6" fillId="0" borderId="0" xfId="0" applyFont="1" applyFill="1" applyAlignment="1">
      <alignment horizontal="center" vertical="top"/>
    </xf>
    <xf numFmtId="0" fontId="6" fillId="0" borderId="0" xfId="0" applyFont="1" applyFill="1" applyAlignment="1">
      <alignment horizontal="left" vertical="top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top" wrapText="1"/>
    </xf>
    <xf numFmtId="164" fontId="6" fillId="0" borderId="0" xfId="0" applyNumberFormat="1" applyFont="1" applyFill="1" applyAlignment="1">
      <alignment horizontal="left" vertical="top"/>
    </xf>
    <xf numFmtId="165" fontId="6" fillId="0" borderId="0" xfId="0" applyNumberFormat="1" applyFont="1" applyFill="1" applyAlignment="1">
      <alignment horizontal="left" vertical="top"/>
    </xf>
  </cellXfs>
  <cellStyles count="4">
    <cellStyle name="Heading 1" xfId="3" builtinId="16"/>
    <cellStyle name="Heading 2" xfId="1" builtinId="17"/>
    <cellStyle name="Heading 3" xfId="2" builtinId="18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5" formatCode="dd\-mmm\-yyyy\ hh\:m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4" formatCode="yyyy\-mm\-dd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5" formatCode="dd\-mmm\-yyyy\ hh\:m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4" formatCode="yyyy\-mm\-dd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4" formatCode="yyyy\-mm\-dd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4" formatCode="yyyy\-mm\-dd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ArialMT"/>
        <family val="2"/>
        <scheme val="none"/>
      </font>
      <fill>
        <patternFill patternType="solid">
          <fgColor rgb="FFC0C0C0"/>
          <bgColor theme="8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border outline="0">
        <bottom style="thick">
          <color theme="4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F4C26"/>
      <color rgb="FF5A9CD7"/>
      <color rgb="FF4472C4"/>
      <color rgb="FF78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BERDASARKAN TIPE PENGUJIAN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Dashboard!$F$33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DCC8-6849-80DE-A1B7789B59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635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  <a:sp3d contourW="6350">
                <a:contourClr>
                  <a:schemeClr val="accent2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DCC8-6849-80DE-A1B7789B5950}"/>
              </c:ext>
            </c:extLst>
          </c:dPt>
          <c:dLbls>
            <c:dLbl>
              <c:idx val="0"/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C8-6849-80DE-A1B7789B5950}"/>
                </c:ext>
              </c:extLst>
            </c:dLbl>
            <c:dLbl>
              <c:idx val="1"/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8-6849-80DE-A1B7789B59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Dashboard!$E$34:$E$35</c:f>
              <c:strCache>
                <c:ptCount val="2"/>
                <c:pt idx="0">
                  <c:v>Positive</c:v>
                </c:pt>
                <c:pt idx="1">
                  <c:v>Negative</c:v>
                </c:pt>
              </c:strCache>
            </c:strRef>
          </c:cat>
          <c:val>
            <c:numRef>
              <c:f>Dashboard!$F$34:$F$35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C9-BE4A-A260-6D5123F979C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BERDASARKAN STATUS PENGUJIAN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Dashboard!$I$33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7C8-A14F-855C-C412C029BCD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7C8-A14F-855C-C412C029BC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67C8-A14F-855C-C412C029BCD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67C8-A14F-855C-C412C029BC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Dashboard!$H$34:$H$37</c:f>
              <c:strCache>
                <c:ptCount val="4"/>
                <c:pt idx="0">
                  <c:v>Passed</c:v>
                </c:pt>
                <c:pt idx="1">
                  <c:v>Failed</c:v>
                </c:pt>
                <c:pt idx="2">
                  <c:v>Not Executed</c:v>
                </c:pt>
                <c:pt idx="3">
                  <c:v>Not Ready</c:v>
                </c:pt>
              </c:strCache>
            </c:strRef>
          </c:cat>
          <c:val>
            <c:numRef>
              <c:f>Dashboard!$I$34:$I$37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3-2744-B6DC-69967B61BB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945856896"/>
        <c:axId val="1945858544"/>
      </c:barChart>
      <c:catAx>
        <c:axId val="1945856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58544"/>
        <c:crosses val="autoZero"/>
        <c:auto val="1"/>
        <c:lblAlgn val="ctr"/>
        <c:lblOffset val="100"/>
        <c:noMultiLvlLbl val="0"/>
      </c:catAx>
      <c:valAx>
        <c:axId val="194585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568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BERDASARKAN HALAMAN PENGUJIAN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Dashboard!$C$33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Dashboard!$B$34:$B$40</c:f>
              <c:strCache>
                <c:ptCount val="7"/>
                <c:pt idx="0">
                  <c:v>1.1. Get - List Users</c:v>
                </c:pt>
                <c:pt idx="1">
                  <c:v>1.2. Get - Single User</c:v>
                </c:pt>
                <c:pt idx="2">
                  <c:v>1.3. Get - Single User Not Found</c:v>
                </c:pt>
                <c:pt idx="3">
                  <c:v>1.4. Get - List &lt;Resource&gt;</c:v>
                </c:pt>
                <c:pt idx="4">
                  <c:v>1.5. Get - Single &lt;Resource&gt;</c:v>
                </c:pt>
                <c:pt idx="5">
                  <c:v>1.6. Get - Single &lt;Resource&lt; Not Found</c:v>
                </c:pt>
                <c:pt idx="6">
                  <c:v>1.7. Post - Create</c:v>
                </c:pt>
              </c:strCache>
            </c:strRef>
          </c:cat>
          <c:val>
            <c:numRef>
              <c:f>Dashboard!$C$34:$C$40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F-8B40-86A7-70943F4A7AE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941576928"/>
        <c:axId val="1958194400"/>
      </c:barChart>
      <c:catAx>
        <c:axId val="1941576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194400"/>
        <c:crosses val="autoZero"/>
        <c:auto val="1"/>
        <c:lblAlgn val="ctr"/>
        <c:lblOffset val="100"/>
        <c:noMultiLvlLbl val="0"/>
      </c:catAx>
      <c:valAx>
        <c:axId val="195819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57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BERDASARKAN PRIORITAS PENGUJIAN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Dashboard!$L$33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Dashboard!$K$34:$K$37</c:f>
              <c:strCache>
                <c:ptCount val="4"/>
                <c:pt idx="0">
                  <c:v>Urgent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Dashboard!$L$34:$L$37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E-4D43-B762-34DFCE63C1C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2007084304"/>
        <c:axId val="2007085952"/>
      </c:barChart>
      <c:catAx>
        <c:axId val="2007084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085952"/>
        <c:crosses val="autoZero"/>
        <c:auto val="1"/>
        <c:lblAlgn val="ctr"/>
        <c:lblOffset val="100"/>
        <c:noMultiLvlLbl val="0"/>
      </c:catAx>
      <c:valAx>
        <c:axId val="200708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084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12856</xdr:colOff>
      <xdr:row>0</xdr:row>
      <xdr:rowOff>59691</xdr:rowOff>
    </xdr:from>
    <xdr:to>
      <xdr:col>10</xdr:col>
      <xdr:colOff>317500</xdr:colOff>
      <xdr:row>30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393699</xdr:colOff>
      <xdr:row>16</xdr:row>
      <xdr:rowOff>34159</xdr:rowOff>
    </xdr:from>
    <xdr:to>
      <xdr:col>15</xdr:col>
      <xdr:colOff>30479</xdr:colOff>
      <xdr:row>31</xdr:row>
      <xdr:rowOff>3679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50801</xdr:colOff>
      <xdr:row>0</xdr:row>
      <xdr:rowOff>57151</xdr:rowOff>
    </xdr:from>
    <xdr:to>
      <xdr:col>6</xdr:col>
      <xdr:colOff>342900</xdr:colOff>
      <xdr:row>30</xdr:row>
      <xdr:rowOff>190500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392914</xdr:colOff>
      <xdr:row>0</xdr:row>
      <xdr:rowOff>64998</xdr:rowOff>
    </xdr:from>
    <xdr:to>
      <xdr:col>15</xdr:col>
      <xdr:colOff>29694</xdr:colOff>
      <xdr:row>15</xdr:row>
      <xdr:rowOff>161518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7</xdr:row>
          <xdr:rowOff>38100</xdr:rowOff>
        </xdr:from>
        <xdr:to>
          <xdr:col>1</xdr:col>
          <xdr:colOff>1266825</xdr:colOff>
          <xdr:row>8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Add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1514475</xdr:colOff>
          <xdr:row>7</xdr:row>
          <xdr:rowOff>38100</xdr:rowOff>
        </xdr:from>
        <xdr:to>
          <xdr:col>2</xdr:col>
          <xdr:colOff>619125</xdr:colOff>
          <xdr:row>8</xdr:row>
          <xdr:rowOff>142875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375623"/>
                  </a:solidFill>
                  <a:latin typeface="ArialMT"/>
                </a:rPr>
                <a:t>Delete Last Record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6</xdr:col>
      <xdr:colOff>444501</xdr:colOff>
      <xdr:row>7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0" y="0"/>
          <a:ext cx="5578476" cy="1133475"/>
          <a:chOff x="0" y="0"/>
          <a:chExt cx="5575301" cy="1130300"/>
        </a:xfrm>
      </xdr:grpSpPr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" y="0"/>
            <a:ext cx="5575300" cy="11303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/>
          </xdr:cNvSpPr>
        </xdr:nvSpPr>
        <xdr:spPr>
          <a:xfrm>
            <a:off x="0" y="10601"/>
            <a:ext cx="2717800" cy="349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182880" bIns="0" rtlCol="0" anchor="b"/>
          <a:lstStyle/>
          <a:p>
            <a:pPr algn="l"/>
            <a:r>
              <a:rPr lang="en-US" sz="1600">
                <a:solidFill>
                  <a:srgbClr val="DF4C26"/>
                </a:solidFill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rPr>
              <a:t>Project Name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0" y="294915"/>
            <a:ext cx="2730500" cy="2382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chemeClr val="tx1">
                    <a:lumMod val="50000"/>
                    <a:lumOff val="50000"/>
                  </a:schemeClr>
                </a:solidFill>
                <a:latin typeface="Arial Rounded MT Bold" panose="020F0704030504030204" pitchFamily="34" charset="77"/>
              </a:rPr>
              <a:t>Web</a:t>
            </a:r>
            <a:r>
              <a:rPr lang="en-US" sz="11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 Rounded MT Bold" panose="020F0704030504030204" pitchFamily="34" charset="77"/>
              </a:rPr>
              <a:t> API Reqres</a:t>
            </a:r>
            <a:endParaRPr lang="en-US" sz="1100">
              <a:solidFill>
                <a:schemeClr val="tx1">
                  <a:lumMod val="50000"/>
                  <a:lumOff val="50000"/>
                </a:schemeClr>
              </a:solidFill>
              <a:latin typeface="Arial Rounded MT Bold" panose="020F0704030504030204" pitchFamily="34" charset="77"/>
            </a:endParaRPr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/>
          </xdr:cNvSpPr>
        </xdr:nvSpPr>
        <xdr:spPr>
          <a:xfrm>
            <a:off x="25400" y="555059"/>
            <a:ext cx="2717800" cy="349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182880" bIns="0" rtlCol="0" anchor="b"/>
          <a:lstStyle/>
          <a:p>
            <a:pPr algn="l"/>
            <a:r>
              <a:rPr lang="en-US" sz="1600">
                <a:solidFill>
                  <a:srgbClr val="DF4C26"/>
                </a:solidFill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rPr>
              <a:t>Start</a:t>
            </a:r>
            <a:r>
              <a:rPr lang="en-US" sz="1600" baseline="0">
                <a:solidFill>
                  <a:srgbClr val="DF4C26"/>
                </a:solidFill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rPr>
              <a:t> Date</a:t>
            </a:r>
            <a:endParaRPr lang="en-US" sz="1600">
              <a:solidFill>
                <a:srgbClr val="DF4C26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25400" y="839374"/>
            <a:ext cx="2730500" cy="2382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chemeClr val="tx1">
                    <a:lumMod val="50000"/>
                    <a:lumOff val="50000"/>
                  </a:schemeClr>
                </a:solidFill>
                <a:latin typeface="Arial Rounded MT Bold" panose="020F0704030504030204" pitchFamily="34" charset="77"/>
              </a:rPr>
              <a:t>20 April 2022</a:t>
            </a: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/>
          </xdr:cNvSpPr>
        </xdr:nvSpPr>
        <xdr:spPr>
          <a:xfrm>
            <a:off x="2819400" y="10601"/>
            <a:ext cx="2717800" cy="349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182880" bIns="0" rtlCol="0" anchor="b"/>
          <a:lstStyle/>
          <a:p>
            <a:pPr algn="l"/>
            <a:r>
              <a:rPr lang="en-US" sz="1600">
                <a:solidFill>
                  <a:srgbClr val="DF4C26"/>
                </a:solidFill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rPr>
              <a:t>Base URL</a:t>
            </a: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2819400" y="294915"/>
            <a:ext cx="2730500" cy="2382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chemeClr val="tx1">
                    <a:lumMod val="50000"/>
                    <a:lumOff val="50000"/>
                  </a:schemeClr>
                </a:solidFill>
                <a:latin typeface="Arial Rounded MT Bold" panose="020F0704030504030204" pitchFamily="34" charset="77"/>
              </a:rPr>
              <a:t>www.reqres.in</a:t>
            </a:r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/>
          </xdr:cNvSpPr>
        </xdr:nvSpPr>
        <xdr:spPr>
          <a:xfrm>
            <a:off x="2832100" y="555059"/>
            <a:ext cx="2717800" cy="349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182880" bIns="0" rtlCol="0" anchor="b"/>
          <a:lstStyle/>
          <a:p>
            <a:pPr algn="l"/>
            <a:r>
              <a:rPr lang="en-US" sz="1600">
                <a:solidFill>
                  <a:srgbClr val="DF4C26"/>
                </a:solidFill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rPr>
              <a:t>End date</a:t>
            </a: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2832100" y="839374"/>
            <a:ext cx="2730500" cy="2382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chemeClr val="tx1">
                    <a:lumMod val="50000"/>
                    <a:lumOff val="50000"/>
                  </a:schemeClr>
                </a:solidFill>
                <a:latin typeface="Arial Rounded MT Bold" panose="020F0704030504030204" pitchFamily="34" charset="77"/>
              </a:rPr>
              <a:t>20 April 2022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B49D68-9E8A-D34A-B9C6-E6ABF7ECF4E2}" name="TableStatus" displayName="TableStatus" ref="H33:I37" totalsRowShown="0" headerRowDxfId="47" dataDxfId="46" headerRowCellStyle="Heading 2">
  <autoFilter ref="H33:I37" xr:uid="{39B49D68-9E8A-D34A-B9C6-E6ABF7ECF4E2}"/>
  <tableColumns count="2">
    <tableColumn id="1" xr3:uid="{567DBF3E-6AAB-F44B-A620-2B81C9A6B114}" name="STATUS" dataDxfId="45"/>
    <tableColumn id="2" xr3:uid="{00650F91-5404-F04C-9013-56844C846874}" name="TOTAL" dataDxfId="44">
      <calculatedColumnFormula>COUNTIF(Table_test_case[STATUS],TableStatus[[#This Row],[STATUS]])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F708E7-6029-1341-8251-DF3DDDFF7B00}" name="TablePic" displayName="TablePic" ref="N33:Q36" totalsRowShown="0" headerRowDxfId="43" dataDxfId="41" headerRowBorderDxfId="42" headerRowCellStyle="Heading 2">
  <autoFilter ref="N33:Q36" xr:uid="{E7F708E7-6029-1341-8251-DF3DDDFF7B00}"/>
  <tableColumns count="4">
    <tableColumn id="1" xr3:uid="{440FA0DB-848F-9F48-9EDE-A92BB70EB242}" name="PIC" dataDxfId="40"/>
    <tableColumn id="2" xr3:uid="{BCFB4232-A96D-B74B-ADE9-74DE4F804D8D}" name="TOTAL_x000a_(Programmer)" dataDxfId="39">
      <calculatedColumnFormula>COUNTIF(Table_test_case[PIC],TablePic[[#This Row],[PIC]])</calculatedColumnFormula>
    </tableColumn>
    <tableColumn id="3" xr3:uid="{D6ACB6D1-1B68-FB43-B671-B4F0F6AF5E43}" name="TOTAL_x000a_(Created)" dataDxfId="38">
      <calculatedColumnFormula>COUNTIF(Table_test_case[CREATED
BY],TablePic[[#This Row],[PIC]])</calculatedColumnFormula>
    </tableColumn>
    <tableColumn id="4" xr3:uid="{0655C577-1DE7-A64E-A666-B7C43E2AC971}" name="TOTAL_x000a_(Executor)" dataDxfId="37">
      <calculatedColumnFormula>COUNTIF(Table_test_case[EXECUTED
BY],TablePic[[#This Row],[PIC]])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78BE29-BD42-E94C-B75E-07BC3539C64B}" name="TablePriority" displayName="TablePriority" ref="K33:L37" totalsRowShown="0" headerRowDxfId="36" dataDxfId="35" headerRowCellStyle="Heading 2">
  <autoFilter ref="K33:L37" xr:uid="{7A78BE29-BD42-E94C-B75E-07BC3539C64B}"/>
  <tableColumns count="2">
    <tableColumn id="1" xr3:uid="{3FBAF980-B046-1744-A68E-80FA60193677}" name="PRIORITY " dataDxfId="34"/>
    <tableColumn id="2" xr3:uid="{20CF8267-20CB-2447-B0EE-04CA0FFEC084}" name="TOTAL" dataDxfId="33">
      <calculatedColumnFormula>COUNTIF(Table_test_case[PRIORITY],TablePriority[[#This Row],[PRIORITY ]])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2B34AFC-8443-7646-A5FF-38B643D476A1}" name="TableTestType" displayName="TableTestType" ref="E33:F35" totalsRowShown="0" headerRowDxfId="32" dataDxfId="31" headerRowCellStyle="Heading 2">
  <autoFilter ref="E33:F35" xr:uid="{12B34AFC-8443-7646-A5FF-38B643D476A1}"/>
  <tableColumns count="2">
    <tableColumn id="1" xr3:uid="{E4B2D535-AD93-2241-822E-9CF430ABB581}" name="TYPE TEST" dataDxfId="30"/>
    <tableColumn id="2" xr3:uid="{B2FCB4DD-51A8-1548-8514-2F1B2803A7E8}" name="TOTAL" dataDxfId="29">
      <calculatedColumnFormula>COUNTIF(Table_test_case[TEST TYPE],TableTestType[[#This Row],[TYPE TEST]])</calculatedColumnFormula>
    </tableColumn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C7EEE0D-7F76-2040-BCB4-250854C8F0F0}" name="TablePage" displayName="TablePage" ref="B33:C40" totalsRowShown="0" headerRowDxfId="28" dataDxfId="27" headerRowCellStyle="Heading 2">
  <autoFilter ref="B33:C40" xr:uid="{6C7EEE0D-7F76-2040-BCB4-250854C8F0F0}"/>
  <tableColumns count="2">
    <tableColumn id="2" xr3:uid="{715B60B1-67E3-3D45-A8B0-02B0A787B3D7}" name="PAGE" dataDxfId="26"/>
    <tableColumn id="3" xr3:uid="{A956E912-A71F-0145-AD97-1B193CC99877}" name="TOTAL" dataDxfId="25">
      <calculatedColumnFormula>COUNTIF(Table_test_case[FUNGTION],TablePage[[#This Row],[PAGE]])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test_case" displayName="Table_test_case" ref="A10:S11" totalsRowShown="0" headerRowDxfId="24" dataDxfId="22" headerRowBorderDxfId="23" tableBorderDxfId="21" totalsRowBorderDxfId="20" headerRowCellStyle="Heading 3">
  <autoFilter ref="A10:S11" xr:uid="{00000000-000C-0000-FFFF-FFFF00000000}"/>
  <tableColumns count="19">
    <tableColumn id="1" xr3:uid="{00000000-0010-0000-0000-000001000000}" name="NO." dataDxfId="19"/>
    <tableColumn id="2" xr3:uid="{00000000-0010-0000-0000-000002000000}" name="FUNGTION" dataDxfId="18"/>
    <tableColumn id="3" xr3:uid="{00000000-0010-0000-0000-000003000000}" name="TEST_x000a_CASE_x000a_ID" dataDxfId="17"/>
    <tableColumn id="17" xr3:uid="{00000000-0010-0000-0000-000011000000}" name="TEST TYPE" dataDxfId="16"/>
    <tableColumn id="22" xr3:uid="{00000000-0010-0000-0000-000016000000}" name="STATUS" dataDxfId="15"/>
    <tableColumn id="6" xr3:uid="{00000000-0010-0000-0000-000006000000}" name=" " dataDxfId="14"/>
    <tableColumn id="19" xr3:uid="{00000000-0010-0000-0000-000013000000}" name="DESCRIPTION" dataDxfId="13"/>
    <tableColumn id="18" xr3:uid="{00000000-0010-0000-0000-000012000000}" name="PREREQUISITES" dataDxfId="12"/>
    <tableColumn id="11" xr3:uid="{9AB612CD-71BC-BB42-81FC-2E43B928187C}" name="TEST DATA" dataDxfId="11"/>
    <tableColumn id="7" xr3:uid="{00000000-0010-0000-0000-000007000000}" name="TEST STEPS" dataDxfId="10"/>
    <tableColumn id="8" xr3:uid="{00000000-0010-0000-0000-000008000000}" name="EXPECTED RESULT" dataDxfId="9"/>
    <tableColumn id="9" xr3:uid="{00000000-0010-0000-0000-000009000000}" name="ACTUAL RESULT" dataDxfId="8"/>
    <tableColumn id="16" xr3:uid="{00000000-0010-0000-0000-000010000000}" name="NOTES" dataDxfId="7"/>
    <tableColumn id="5" xr3:uid="{AF37849C-47CF-1D42-9803-BA046E03AA35}" name="PRIORITY" dataDxfId="6"/>
    <tableColumn id="4" xr3:uid="{7D50DCE3-CDE0-D540-AD1E-7BD0F9C19C2B}" name="PIC" dataDxfId="5"/>
    <tableColumn id="12" xr3:uid="{00000000-0010-0000-0000-00000C000000}" name="CREATED_x000a_BY" dataDxfId="4"/>
    <tableColumn id="13" xr3:uid="{00000000-0010-0000-0000-00000D000000}" name="CREATED_x000a_ON" dataDxfId="3"/>
    <tableColumn id="14" xr3:uid="{00000000-0010-0000-0000-00000E000000}" name="EXECUTED_x000a_BY" dataDxfId="2"/>
    <tableColumn id="15" xr3:uid="{00000000-0010-0000-0000-00000F000000}" name="EXECUTED_x000a_ON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2D4AE-FCC9-6742-877C-3E48E2465F27}">
  <sheetPr codeName="Sheet4">
    <tabColor theme="8" tint="-0.249977111117893"/>
  </sheetPr>
  <dimension ref="A1:Q41"/>
  <sheetViews>
    <sheetView showGridLines="0" topLeftCell="A24" zoomScaleNormal="100" workbookViewId="0">
      <selection activeCell="N40" sqref="N40"/>
    </sheetView>
  </sheetViews>
  <sheetFormatPr defaultColWidth="10.875" defaultRowHeight="15"/>
  <cols>
    <col min="1" max="1" width="1.125" style="3" customWidth="1"/>
    <col min="2" max="2" width="35.875" style="3" customWidth="1"/>
    <col min="3" max="3" width="12.875" style="3" customWidth="1"/>
    <col min="4" max="4" width="5.125" style="3" customWidth="1"/>
    <col min="5" max="5" width="21.125" style="3" customWidth="1"/>
    <col min="6" max="6" width="12.875" style="3" customWidth="1"/>
    <col min="7" max="7" width="5.125" style="3" customWidth="1"/>
    <col min="8" max="8" width="21.125" style="3" customWidth="1"/>
    <col min="9" max="9" width="12.875" style="3" customWidth="1"/>
    <col min="10" max="10" width="5.125" style="3" customWidth="1"/>
    <col min="11" max="11" width="21.125" style="3" customWidth="1"/>
    <col min="12" max="12" width="12.875" style="3" customWidth="1"/>
    <col min="13" max="13" width="5.125" style="3" customWidth="1"/>
    <col min="14" max="14" width="21.125" style="3" customWidth="1"/>
    <col min="15" max="17" width="15" style="3" customWidth="1"/>
    <col min="18" max="18" width="16.5" style="3" bestFit="1" customWidth="1"/>
    <col min="19" max="19" width="22" style="3" bestFit="1" customWidth="1"/>
    <col min="20" max="16384" width="10.875" style="3"/>
  </cols>
  <sheetData>
    <row r="1" spans="1:16" ht="6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5"/>
    </row>
    <row r="2" spans="1:16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</row>
    <row r="3" spans="1:16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5"/>
    </row>
    <row r="4" spans="1:16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5"/>
    </row>
    <row r="5" spans="1:16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5"/>
    </row>
    <row r="6" spans="1:16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5"/>
    </row>
    <row r="7" spans="1:16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</row>
    <row r="8" spans="1:16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5"/>
    </row>
    <row r="9" spans="1:16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5"/>
    </row>
    <row r="10" spans="1:16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5"/>
    </row>
    <row r="11" spans="1:16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5"/>
    </row>
    <row r="12" spans="1:16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5"/>
    </row>
    <row r="13" spans="1:16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5"/>
    </row>
    <row r="14" spans="1:16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5"/>
    </row>
    <row r="15" spans="1:16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5"/>
    </row>
    <row r="16" spans="1:16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5"/>
    </row>
    <row r="17" spans="1:16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5"/>
    </row>
    <row r="18" spans="1:16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5"/>
    </row>
    <row r="19" spans="1:16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5"/>
    </row>
    <row r="20" spans="1:16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5"/>
    </row>
    <row r="21" spans="1:16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5"/>
    </row>
    <row r="22" spans="1:16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5"/>
    </row>
    <row r="23" spans="1:16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5"/>
    </row>
    <row r="24" spans="1:16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5"/>
    </row>
    <row r="25" spans="1:16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5"/>
    </row>
    <row r="26" spans="1:16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5"/>
    </row>
    <row r="27" spans="1:16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5"/>
    </row>
    <row r="28" spans="1:16" ht="15.95" customHeight="1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5"/>
    </row>
    <row r="29" spans="1:16" ht="15.95" customHeight="1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5"/>
    </row>
    <row r="30" spans="1:16" ht="15.95" customHeight="1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5"/>
    </row>
    <row r="31" spans="1:16" ht="15.95" customHeight="1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5"/>
    </row>
    <row r="32" spans="1:16" ht="8.1" customHeight="1">
      <c r="P32" s="16"/>
    </row>
    <row r="33" spans="2:17" ht="42" customHeight="1" thickBot="1">
      <c r="B33" s="25" t="s">
        <v>43</v>
      </c>
      <c r="C33" s="26" t="s">
        <v>44</v>
      </c>
      <c r="D33" s="27"/>
      <c r="E33" s="25" t="s">
        <v>42</v>
      </c>
      <c r="F33" s="26" t="s">
        <v>44</v>
      </c>
      <c r="G33" s="27"/>
      <c r="H33" s="25" t="s">
        <v>6</v>
      </c>
      <c r="I33" s="26" t="s">
        <v>44</v>
      </c>
      <c r="J33" s="27"/>
      <c r="K33" s="25" t="s">
        <v>37</v>
      </c>
      <c r="L33" s="26" t="s">
        <v>44</v>
      </c>
      <c r="M33" s="27"/>
      <c r="N33" s="25" t="s">
        <v>12</v>
      </c>
      <c r="O33" s="28" t="s">
        <v>47</v>
      </c>
      <c r="P33" s="28" t="s">
        <v>48</v>
      </c>
      <c r="Q33" s="28" t="s">
        <v>49</v>
      </c>
    </row>
    <row r="34" spans="2:17" ht="15.75" thickTop="1">
      <c r="B34" s="23" t="s">
        <v>14</v>
      </c>
      <c r="C34" s="29">
        <f>COUNTIF(Table_test_case[FUNGTION],TablePage[[#This Row],[PAGE]])</f>
        <v>0</v>
      </c>
      <c r="D34" s="23"/>
      <c r="E34" s="23" t="s">
        <v>8</v>
      </c>
      <c r="F34" s="29">
        <f>COUNTIF(Table_test_case[TEST TYPE],TableTestType[[#This Row],[TYPE TEST]])</f>
        <v>0</v>
      </c>
      <c r="G34" s="23"/>
      <c r="H34" s="23" t="s">
        <v>33</v>
      </c>
      <c r="I34" s="29">
        <f>COUNTIF(Table_test_case[STATUS],TableStatus[[#This Row],[STATUS]])</f>
        <v>0</v>
      </c>
      <c r="J34" s="23"/>
      <c r="K34" s="23" t="s">
        <v>38</v>
      </c>
      <c r="L34" s="29">
        <f>COUNTIF(Table_test_case[PRIORITY],TablePriority[[#This Row],[PRIORITY ]])</f>
        <v>0</v>
      </c>
      <c r="M34" s="23"/>
      <c r="N34" s="23" t="s">
        <v>9</v>
      </c>
      <c r="O34" s="29">
        <f>COUNTIF(Table_test_case[PIC],TablePic[[#This Row],[PIC]])</f>
        <v>0</v>
      </c>
      <c r="P34" s="29">
        <f>COUNTIF(Table_test_case[CREATED
BY],TablePic[[#This Row],[PIC]])</f>
        <v>0</v>
      </c>
      <c r="Q34" s="29">
        <f>COUNTIF(Table_test_case[EXECUTED
BY],TablePic[[#This Row],[PIC]])</f>
        <v>0</v>
      </c>
    </row>
    <row r="35" spans="2:17">
      <c r="B35" s="23" t="s">
        <v>15</v>
      </c>
      <c r="C35" s="29">
        <f>COUNTIF(Table_test_case[FUNGTION],TablePage[[#This Row],[PAGE]])</f>
        <v>0</v>
      </c>
      <c r="D35" s="23"/>
      <c r="E35" s="23" t="s">
        <v>13</v>
      </c>
      <c r="F35" s="29">
        <f>COUNTIF(Table_test_case[TEST TYPE],TableTestType[[#This Row],[TYPE TEST]])</f>
        <v>0</v>
      </c>
      <c r="G35" s="23"/>
      <c r="H35" s="23" t="s">
        <v>34</v>
      </c>
      <c r="I35" s="29">
        <f>COUNTIF(Table_test_case[STATUS],TableStatus[[#This Row],[STATUS]])</f>
        <v>0</v>
      </c>
      <c r="J35" s="23"/>
      <c r="K35" s="23" t="s">
        <v>39</v>
      </c>
      <c r="L35" s="29">
        <f>COUNTIF(Table_test_case[PRIORITY],TablePriority[[#This Row],[PRIORITY ]])</f>
        <v>0</v>
      </c>
      <c r="M35" s="23"/>
      <c r="N35" s="23" t="s">
        <v>10</v>
      </c>
      <c r="O35" s="29">
        <f>COUNTIF(Table_test_case[PIC],TablePic[[#This Row],[PIC]])</f>
        <v>0</v>
      </c>
      <c r="P35" s="29">
        <f>COUNTIF(Table_test_case[CREATED
BY],TablePic[[#This Row],[PIC]])</f>
        <v>0</v>
      </c>
      <c r="Q35" s="29">
        <f>COUNTIF(Table_test_case[EXECUTED
BY],TablePic[[#This Row],[PIC]])</f>
        <v>0</v>
      </c>
    </row>
    <row r="36" spans="2:17">
      <c r="B36" s="23" t="s">
        <v>16</v>
      </c>
      <c r="C36" s="29">
        <f>COUNTIF(Table_test_case[FUNGTION],TablePage[[#This Row],[PAGE]])</f>
        <v>0</v>
      </c>
      <c r="D36" s="23"/>
      <c r="E36" s="23"/>
      <c r="F36" s="23"/>
      <c r="G36" s="23"/>
      <c r="H36" s="23" t="s">
        <v>35</v>
      </c>
      <c r="I36" s="29">
        <f>COUNTIF(Table_test_case[STATUS],TableStatus[[#This Row],[STATUS]])</f>
        <v>0</v>
      </c>
      <c r="J36" s="23"/>
      <c r="K36" s="23" t="s">
        <v>40</v>
      </c>
      <c r="L36" s="29">
        <f>COUNTIF(Table_test_case[PRIORITY],TablePriority[[#This Row],[PRIORITY ]])</f>
        <v>0</v>
      </c>
      <c r="M36" s="23"/>
      <c r="N36" s="23" t="s">
        <v>29</v>
      </c>
      <c r="O36" s="29">
        <f>COUNTIF(Table_test_case[PIC],TablePic[[#This Row],[PIC]])</f>
        <v>0</v>
      </c>
      <c r="P36" s="29">
        <f>COUNTIF(Table_test_case[CREATED
BY],TablePic[[#This Row],[PIC]])</f>
        <v>0</v>
      </c>
      <c r="Q36" s="29">
        <f>COUNTIF(Table_test_case[EXECUTED
BY],TablePic[[#This Row],[PIC]])</f>
        <v>0</v>
      </c>
    </row>
    <row r="37" spans="2:17">
      <c r="B37" s="23" t="s">
        <v>17</v>
      </c>
      <c r="C37" s="29">
        <f>COUNTIF(Table_test_case[FUNGTION],TablePage[[#This Row],[PAGE]])</f>
        <v>0</v>
      </c>
      <c r="D37" s="23"/>
      <c r="E37" s="23"/>
      <c r="F37" s="23"/>
      <c r="G37" s="23"/>
      <c r="H37" s="23" t="s">
        <v>30</v>
      </c>
      <c r="I37" s="29">
        <f>COUNTIF(Table_test_case[STATUS],TableStatus[[#This Row],[STATUS]])</f>
        <v>1</v>
      </c>
      <c r="J37" s="23"/>
      <c r="K37" s="23" t="s">
        <v>41</v>
      </c>
      <c r="L37" s="29">
        <f>COUNTIF(Table_test_case[PRIORITY],TablePriority[[#This Row],[PRIORITY ]])</f>
        <v>0</v>
      </c>
      <c r="M37" s="23"/>
      <c r="N37" s="23"/>
      <c r="O37" s="23"/>
      <c r="P37" s="23"/>
    </row>
    <row r="38" spans="2:17">
      <c r="B38" s="23" t="s">
        <v>18</v>
      </c>
      <c r="C38" s="29">
        <f>COUNTIF(Table_test_case[FUNGTION],TablePage[[#This Row],[PAGE]])</f>
        <v>0</v>
      </c>
      <c r="D38" s="23"/>
      <c r="E38" s="23"/>
      <c r="F38" s="23"/>
      <c r="G38" s="23"/>
      <c r="H38" s="23"/>
      <c r="I38" s="24"/>
      <c r="J38" s="23"/>
      <c r="K38" s="23"/>
      <c r="L38" s="23"/>
      <c r="M38" s="23"/>
      <c r="N38" s="23"/>
      <c r="O38" s="23"/>
      <c r="P38" s="23"/>
    </row>
    <row r="39" spans="2:17">
      <c r="B39" s="23" t="s">
        <v>19</v>
      </c>
      <c r="C39" s="29">
        <f>COUNTIF(Table_test_case[FUNGTION],TablePage[[#This Row],[PAGE]])</f>
        <v>0</v>
      </c>
      <c r="D39" s="23"/>
      <c r="E39" s="23"/>
      <c r="F39" s="23"/>
      <c r="G39" s="23"/>
      <c r="H39" s="23"/>
      <c r="I39" s="24"/>
      <c r="J39" s="23"/>
      <c r="K39" s="23"/>
      <c r="L39" s="23"/>
      <c r="M39" s="23"/>
      <c r="N39" s="23"/>
      <c r="O39" s="23"/>
      <c r="P39" s="23"/>
    </row>
    <row r="40" spans="2:17">
      <c r="B40" s="23" t="s">
        <v>20</v>
      </c>
      <c r="C40" s="29">
        <f>COUNTIF(Table_test_case[FUNGTION],TablePage[[#This Row],[PAGE]])</f>
        <v>0</v>
      </c>
      <c r="D40" s="23"/>
      <c r="E40" s="23"/>
      <c r="F40" s="23"/>
      <c r="G40" s="23"/>
      <c r="H40" s="23"/>
      <c r="I40" s="24"/>
      <c r="J40" s="23"/>
      <c r="K40" s="23"/>
      <c r="L40" s="23"/>
      <c r="M40" s="23"/>
      <c r="N40" s="23"/>
      <c r="O40" s="23"/>
      <c r="P40" s="23"/>
    </row>
    <row r="41" spans="2:17">
      <c r="I41" s="4"/>
    </row>
  </sheetData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-0.249977111117893"/>
  </sheetPr>
  <dimension ref="A7:T18"/>
  <sheetViews>
    <sheetView showGridLines="0" tabSelected="1" zoomScaleNormal="100" workbookViewId="0">
      <pane xSplit="6" ySplit="10" topLeftCell="G11" activePane="bottomRight" state="frozen"/>
      <selection activeCell="C17" sqref="C17:C18"/>
      <selection pane="topRight" activeCell="C17" sqref="C17:C18"/>
      <selection pane="bottomLeft" activeCell="C17" sqref="C17:C18"/>
      <selection pane="bottomRight" activeCell="E14" sqref="E14"/>
    </sheetView>
  </sheetViews>
  <sheetFormatPr defaultColWidth="9" defaultRowHeight="12.75"/>
  <cols>
    <col min="1" max="1" width="4" style="5" customWidth="1"/>
    <col min="2" max="2" width="30.875" style="5" customWidth="1"/>
    <col min="3" max="3" width="9.875" style="5" customWidth="1"/>
    <col min="4" max="4" width="9.5" style="5" bestFit="1" customWidth="1"/>
    <col min="5" max="5" width="11" style="5" customWidth="1"/>
    <col min="6" max="6" width="2.125" style="18" customWidth="1"/>
    <col min="7" max="12" width="35.625" style="5" customWidth="1"/>
    <col min="13" max="13" width="25.875" style="5" customWidth="1"/>
    <col min="14" max="14" width="16" style="5" customWidth="1"/>
    <col min="15" max="16" width="12.875" style="5" customWidth="1"/>
    <col min="17" max="17" width="16.875" style="5" customWidth="1"/>
    <col min="18" max="18" width="12.875" style="5" customWidth="1"/>
    <col min="19" max="19" width="16.875" style="5" customWidth="1"/>
    <col min="20" max="20" width="9" style="12"/>
    <col min="21" max="16384" width="9" style="5"/>
  </cols>
  <sheetData>
    <row r="7" spans="1:20">
      <c r="A7" s="22"/>
      <c r="B7" s="6"/>
      <c r="C7" s="20"/>
      <c r="D7" s="21"/>
      <c r="E7" s="6"/>
      <c r="F7" s="6"/>
      <c r="T7" s="5"/>
    </row>
    <row r="8" spans="1:20">
      <c r="A8" s="6"/>
      <c r="B8" s="9"/>
      <c r="F8" s="9"/>
      <c r="G8" s="10"/>
      <c r="H8" s="10"/>
      <c r="I8" s="10"/>
      <c r="J8" s="8"/>
      <c r="K8" s="6"/>
      <c r="L8" s="6"/>
      <c r="M8" s="6"/>
      <c r="N8" s="6"/>
      <c r="O8" s="6"/>
      <c r="P8" s="6"/>
      <c r="Q8" s="6"/>
      <c r="R8" s="6"/>
      <c r="S8" s="6"/>
      <c r="T8" s="5"/>
    </row>
    <row r="9" spans="1:20">
      <c r="A9" s="6"/>
      <c r="B9" s="6"/>
      <c r="F9" s="5"/>
      <c r="G9" s="7"/>
      <c r="H9" s="7"/>
      <c r="I9" s="7"/>
      <c r="J9" s="7"/>
      <c r="K9" s="6"/>
      <c r="L9" s="6"/>
      <c r="M9" s="6"/>
      <c r="N9" s="6"/>
      <c r="O9" s="6"/>
      <c r="P9" s="6"/>
      <c r="Q9" s="6"/>
      <c r="R9" s="6"/>
      <c r="S9" s="6"/>
      <c r="T9" s="5"/>
    </row>
    <row r="10" spans="1:20" ht="39" customHeight="1">
      <c r="A10" s="19" t="s">
        <v>0</v>
      </c>
      <c r="B10" s="19" t="s">
        <v>1</v>
      </c>
      <c r="C10" s="19" t="s">
        <v>31</v>
      </c>
      <c r="D10" s="19" t="s">
        <v>5</v>
      </c>
      <c r="E10" s="19" t="s">
        <v>6</v>
      </c>
      <c r="F10" s="19" t="s">
        <v>45</v>
      </c>
      <c r="G10" s="19" t="s">
        <v>23</v>
      </c>
      <c r="H10" s="19" t="s">
        <v>24</v>
      </c>
      <c r="I10" s="19" t="s">
        <v>46</v>
      </c>
      <c r="J10" s="19" t="s">
        <v>2</v>
      </c>
      <c r="K10" s="19" t="s">
        <v>3</v>
      </c>
      <c r="L10" s="19" t="s">
        <v>4</v>
      </c>
      <c r="M10" s="19" t="s">
        <v>7</v>
      </c>
      <c r="N10" s="19" t="s">
        <v>36</v>
      </c>
      <c r="O10" s="19" t="s">
        <v>12</v>
      </c>
      <c r="P10" s="19" t="s">
        <v>25</v>
      </c>
      <c r="Q10" s="19" t="s">
        <v>26</v>
      </c>
      <c r="R10" s="19" t="s">
        <v>27</v>
      </c>
      <c r="S10" s="19" t="s">
        <v>28</v>
      </c>
      <c r="T10" s="5"/>
    </row>
    <row r="11" spans="1:20" s="11" customFormat="1">
      <c r="A11" s="34">
        <v>1</v>
      </c>
      <c r="B11" s="35"/>
      <c r="C11" s="35"/>
      <c r="D11" s="36"/>
      <c r="E11" s="36" t="s">
        <v>30</v>
      </c>
      <c r="F11" s="37"/>
      <c r="G11" s="36"/>
      <c r="H11" s="36"/>
      <c r="I11" s="37"/>
      <c r="J11" s="36"/>
      <c r="K11" s="37"/>
      <c r="L11" s="37"/>
      <c r="M11" s="38"/>
      <c r="N11" s="38"/>
      <c r="O11" s="38"/>
      <c r="P11" s="35" t="s">
        <v>50</v>
      </c>
      <c r="Q11" s="39">
        <v>44689.584548611114</v>
      </c>
      <c r="R11" s="38"/>
      <c r="S11" s="39"/>
    </row>
    <row r="12" spans="1:20" s="11" customFormat="1">
      <c r="A12" s="5"/>
      <c r="B12" s="5"/>
      <c r="C12" s="5"/>
      <c r="D12" s="5"/>
      <c r="E12" s="5"/>
      <c r="F12" s="18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20" s="11" customFormat="1" ht="15">
      <c r="A13" s="5"/>
      <c r="B13" s="17" t="s">
        <v>11</v>
      </c>
      <c r="C13" s="17" t="s">
        <v>32</v>
      </c>
      <c r="D13" s="5"/>
      <c r="E13" s="13"/>
      <c r="F13" s="18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20" ht="14.25">
      <c r="B14" s="30" t="str" cm="1">
        <f t="array" ref="B14:C17">Dashboard!H34:I37</f>
        <v>Passed</v>
      </c>
      <c r="C14" s="31">
        <v>0</v>
      </c>
      <c r="D14" s="13"/>
      <c r="E14" s="13"/>
    </row>
    <row r="15" spans="1:20" ht="14.25">
      <c r="B15" s="30" t="str">
        <v>Failed</v>
      </c>
      <c r="C15" s="31">
        <v>0</v>
      </c>
    </row>
    <row r="16" spans="1:20" ht="14.25">
      <c r="B16" s="30" t="str">
        <v>Not Executed</v>
      </c>
      <c r="C16" s="31">
        <v>0</v>
      </c>
    </row>
    <row r="17" spans="2:3" ht="14.25">
      <c r="B17" s="30" t="str">
        <v>Not Ready</v>
      </c>
      <c r="C17" s="31">
        <v>1</v>
      </c>
    </row>
    <row r="18" spans="2:3" ht="14.25">
      <c r="B18" s="32" t="s">
        <v>44</v>
      </c>
      <c r="C18" s="33">
        <f>SUM(C14:C17)</f>
        <v>1</v>
      </c>
    </row>
  </sheetData>
  <dataValidations count="5">
    <dataValidation type="list" allowBlank="1" showInputMessage="1" showErrorMessage="1" sqref="D11" xr:uid="{00000000-0002-0000-0000-000001000000}">
      <formula1>typeTestList</formula1>
    </dataValidation>
    <dataValidation type="list" allowBlank="1" showInputMessage="1" showErrorMessage="1" sqref="B11" xr:uid="{00000000-0002-0000-0000-000000000000}">
      <formula1>pageList</formula1>
    </dataValidation>
    <dataValidation type="list" allowBlank="1" showInputMessage="1" showErrorMessage="1" sqref="E11" xr:uid="{AB3C7D48-6248-BF44-BC67-9601FA3FEF51}">
      <formula1>statusList</formula1>
    </dataValidation>
    <dataValidation type="list" allowBlank="1" showInputMessage="1" showErrorMessage="1" sqref="N11" xr:uid="{B8EBAFA2-42E0-C149-B2F2-1BAED273F9DD}">
      <formula1>priorityList</formula1>
    </dataValidation>
    <dataValidation type="list" allowBlank="1" showInputMessage="1" showErrorMessage="1" sqref="O11:P11 R11" xr:uid="{797079AC-8B14-9B4A-BC48-F63FF901A58C}">
      <formula1>picList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uttonAddTestCase_Click">
                <anchor moveWithCells="1" sizeWithCells="1">
                  <from>
                    <xdr:col>0</xdr:col>
                    <xdr:colOff>114300</xdr:colOff>
                    <xdr:row>7</xdr:row>
                    <xdr:rowOff>38100</xdr:rowOff>
                  </from>
                  <to>
                    <xdr:col>1</xdr:col>
                    <xdr:colOff>1266825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ButtonDeleteTestCase_Click">
                <anchor moveWithCells="1" sizeWithCells="1">
                  <from>
                    <xdr:col>1</xdr:col>
                    <xdr:colOff>1514475</xdr:colOff>
                    <xdr:row>7</xdr:row>
                    <xdr:rowOff>38100</xdr:rowOff>
                  </from>
                  <to>
                    <xdr:col>2</xdr:col>
                    <xdr:colOff>619125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9D6610C4-829E-40B1-9539-3F8D2270CBC0}">
            <xm:f>$E11=Dashboard!$H$35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A11:S11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"/>
  <sheetViews>
    <sheetView showGridLines="0" workbookViewId="0">
      <selection activeCell="G2" sqref="G2"/>
    </sheetView>
  </sheetViews>
  <sheetFormatPr defaultColWidth="8.875" defaultRowHeight="15.75"/>
  <cols>
    <col min="1" max="1" width="57.875" customWidth="1"/>
  </cols>
  <sheetData>
    <row r="1" spans="1:1">
      <c r="A1" s="2" t="s">
        <v>21</v>
      </c>
    </row>
    <row r="2" spans="1:1" ht="267.75">
      <c r="A2" s="1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Dashboard</vt:lpstr>
      <vt:lpstr>Test Case</vt:lpstr>
      <vt:lpstr>MACRO</vt:lpstr>
      <vt:lpstr>list_test_case</vt:lpstr>
      <vt:lpstr>pageList</vt:lpstr>
      <vt:lpstr>picList</vt:lpstr>
      <vt:lpstr>priorityList</vt:lpstr>
      <vt:lpstr>statusList</vt:lpstr>
      <vt:lpstr>typeTestList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Template Test Case - ProjectName</dc:title>
  <dc:subject/>
  <dc:creator>Ade Aditya</dc:creator>
  <cp:keywords/>
  <dc:description/>
  <cp:lastModifiedBy>Muhammad Yasin</cp:lastModifiedBy>
  <cp:revision/>
  <dcterms:created xsi:type="dcterms:W3CDTF">2021-09-10T01:15:16Z</dcterms:created>
  <dcterms:modified xsi:type="dcterms:W3CDTF">2022-05-08T06:10:56Z</dcterms:modified>
  <cp:category/>
  <cp:contentStatus/>
</cp:coreProperties>
</file>